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fbd9a8df5543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2998694592d94e18"/>
    <x:sheet xmlns:r="http://schemas.openxmlformats.org/officeDocument/2006/relationships" name="Funnel" sheetId="2" r:id="Ra4d19f8c701c46de"/>
    <x:sheet xmlns:r="http://schemas.openxmlformats.org/officeDocument/2006/relationships" name="Revenue" sheetId="3" r:id="Rb09af0d3903a44f2"/>
    <x:sheet xmlns:r="http://schemas.openxmlformats.org/officeDocument/2006/relationships" name="Costs" sheetId="4" r:id="R9f3066f03ac34f65"/>
    <x:sheet xmlns:r="http://schemas.openxmlformats.org/officeDocument/2006/relationships" name="Unit_Economics" sheetId="5" r:id="R055f79648c0f4521"/>
    <x:sheet xmlns:r="http://schemas.openxmlformats.org/officeDocument/2006/relationships" name="Scenarios" sheetId="6" r:id="R46f3bd13a925405f"/>
    <x:sheet xmlns:r="http://schemas.openxmlformats.org/officeDocument/2006/relationships" name="Cohorts" sheetId="7" r:id="R8f4ad6a4d9a24c02"/>
    <x:sheet xmlns:r="http://schemas.openxmlformats.org/officeDocument/2006/relationships" name="Dashboard" sheetId="8" r:id="R551cd30c002249c7"/>
    <x:sheet xmlns:r="http://schemas.openxmlformats.org/officeDocument/2006/relationships" name="Warnings" sheetId="9" r:id="R38888233586848ec"/>
    <x:sheet xmlns:r="http://schemas.openxmlformats.org/officeDocument/2006/relationships" name="Sensitivity" sheetId="10" r:id="Re45caab46c9243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mmm yyyy"/>
    <x:numFmt numFmtId="201" formatCode="0.0%"/>
    <x:numFmt numFmtId="202" formatCode="#,##0;[Red](#,##0);-"/>
    <x:numFmt numFmtId="203" formatCode="#,##0 ₽;[Red](#,##0 ₽);-"/>
    <x:numFmt numFmtId="204" formatCode="0.0x"/>
    <x:numFmt numFmtId="205" formatCode="0.0"/>
    <x:numFmt numFmtId="206" formatCode="#,##0.0;[Red](#,##0.0);-"/>
    <x:numFmt numFmtId="207" formatCode="0%"/>
  </x:numFmts>
  <x:fonts count="5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  <x:font>
      <x:sz val="11"/>
      <x:color rgb="0000FF"/>
      <x:name val="Carlito"/>
    </x:font>
    <x:font>
      <x:sz val="11"/>
      <x:color rgb="000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374151"/>
      </x:patternFill>
    </x:fill>
    <x:fill>
      <x:patternFill patternType="solid">
        <x:fgColor rgb="FEF3C7"/>
      </x:patternFill>
    </x:fill>
  </x:fills>
  <x:borders count="2">
    <x:border/>
    <x:border/>
  </x:borders>
  <x:cellStyleXfs count="1">
    <x:xf numFmtId="0" fontId="0" fillId="0" borderId="0"/>
  </x:cellStyleXfs>
  <x:cellXfs count="6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207" fontId="0" fillId="0" borderId="0" xfId="0" applyNumberFormat="1" applyFont="1" applyFill="1" applyBorder="1"/>
    <x:xf numFmtId="207" fontId="0" fillId="0" borderId="1" xfId="0" applyNumberFormat="1" applyFont="1" applyFill="1" applyBorder="1"/>
    <x:xf numFmtId="207" fontId="2" fillId="3" borderId="0" xfId="0" applyNumberFormat="1" applyFont="1" applyFill="1" applyBorder="1" applyAlignment="1">
      <x:alignment horizontal="center" vertical="center" wrapText="1"/>
    </x:xf>
    <x:xf numFmtId="207" fontId="2" fillId="3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20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205" fontId="0" fillId="0" borderId="1" xfId="0" applyNumberFormat="1" applyFont="1" applyFill="1" applyBorder="1" applyAlignment="1">
      <x:alignment wrapText="1"/>
    </x:xf>
    <x:xf numFmtId="206" fontId="0" fillId="0" borderId="0" xfId="0" applyNumberFormat="1" applyFont="1" applyFill="1" applyBorder="1" applyAlignment="1">
      <x:alignment wrapText="1"/>
    </x:xf>
    <x:xf numFmtId="206" fontId="0" fillId="0" borderId="1" xfId="0" applyNumberFormat="1" applyFont="1" applyFill="1" applyBorder="1" applyAlignment="1">
      <x:alignment wrapText="1"/>
    </x:xf>
    <x:xf numFmtId="207" fontId="0" fillId="0" borderId="0" xfId="0" applyNumberFormat="1" applyFont="1" applyFill="1" applyBorder="1" applyAlignment="1">
      <x:alignment wrapText="1"/>
    </x:xf>
    <x:xf numFmtId="207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991B1B"/>
      </x:font>
      <x:fill>
        <x:patternFill patternType="solid">
          <x:bgColor rgb="FEE2E2"/>
        </x:patternFill>
      </x:fill>
    </x:dxf>
    <x:dxf>
      <x:fill>
        <x:patternFill patternType="solid">
          <x:bgColor rgb="FEF3C7"/>
        </x:patternFill>
      </x:fill>
    </x:dxf>
    <x:dxf>
      <x:font>
        <x:b/>
        <x:color rgb="065F46"/>
      </x:font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41b26afca3440a" /><Relationship Type="http://schemas.openxmlformats.org/officeDocument/2006/relationships/theme" Target="/xl/theme/theme1.xml" Id="R54214da95e554d05" /><Relationship Type="http://schemas.openxmlformats.org/officeDocument/2006/relationships/sharedStrings" Target="/xl/sharedStrings.xml" Id="R6162350e70f74703" /><Relationship Type="http://schemas.openxmlformats.org/officeDocument/2006/relationships/worksheet" Target="/xl/worksheets/sheet1.xml" Id="R2998694592d94e18" /><Relationship Type="http://schemas.openxmlformats.org/officeDocument/2006/relationships/worksheet" Target="/xl/worksheets/sheet2.xml" Id="Ra4d19f8c701c46de" /><Relationship Type="http://schemas.openxmlformats.org/officeDocument/2006/relationships/worksheet" Target="/xl/worksheets/sheet3.xml" Id="Rb09af0d3903a44f2" /><Relationship Type="http://schemas.openxmlformats.org/officeDocument/2006/relationships/worksheet" Target="/xl/worksheets/sheet4.xml" Id="R9f3066f03ac34f65" /><Relationship Type="http://schemas.openxmlformats.org/officeDocument/2006/relationships/worksheet" Target="/xl/worksheets/sheet5.xml" Id="R055f79648c0f4521" /><Relationship Type="http://schemas.openxmlformats.org/officeDocument/2006/relationships/worksheet" Target="/xl/worksheets/sheet6.xml" Id="R46f3bd13a925405f" /><Relationship Type="http://schemas.openxmlformats.org/officeDocument/2006/relationships/worksheet" Target="/xl/worksheets/sheet7.xml" Id="R8f4ad6a4d9a24c02" /><Relationship Type="http://schemas.openxmlformats.org/officeDocument/2006/relationships/worksheet" Target="/xl/worksheets/sheet8.xml" Id="R551cd30c002249c7" /><Relationship Type="http://schemas.openxmlformats.org/officeDocument/2006/relationships/worksheet" Target="/xl/worksheets/sheet9.xml" Id="R38888233586848ec" /><Relationship Type="http://schemas.openxmlformats.org/officeDocument/2006/relationships/worksheet" Target="/xl/worksheets/sheet10.xml" Id="Re45caab46c9243c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3464742888e4888" /><Relationship Type="http://schemas.openxmlformats.org/officeDocument/2006/relationships/chart" Target="/xl/drawings/charts/chart2.xml" Id="R38dfd8381bc9437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Recognized Revenue Forecast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Active Paid Users</c:v>
          </c:tx>
          <c:cat>
            <c:strRef>
              <c:f>'Revenue'!$B$4:$B$27</c:f>
              <c:strCache>
                <c:ptCount val="0"/>
              </c:strCache>
            </c:strRef>
          </c:cat>
          <c:val>
            <c:numRef>
              <c:f>'Revenue'!$C$4:$C$27</c:f>
              <c:numCache>
                <c:formatCode/>
                <c:ptCount val="0"/>
              </c:numCache>
            </c:numRef>
          </c:val>
          <c:smooth val="0"/>
        </c:ser>
        <c:ser>
          <c:idx val="1"/>
          <c:order val="1"/>
          <c:tx>
            <c:v>Monthly Price Avg</c:v>
          </c:tx>
          <c:cat>
            <c:strRef>
              <c:f>'Revenue'!$B$4:$B$27</c:f>
              <c:strCache>
                <c:ptCount val="0"/>
              </c:strCache>
            </c:strRef>
          </c:cat>
          <c:val>
            <c:numRef>
              <c:f>'Revenue'!$D$4:$D$27</c:f>
              <c:numCache>
                <c:formatCode>#,##0 ₽;[Red](#,##0 ₽);-</c:formatCode>
                <c:ptCount val="0"/>
              </c:numCache>
            </c:numRef>
          </c:val>
          <c:smooth val="0"/>
        </c:ser>
        <c:ser>
          <c:idx val="2"/>
          <c:order val="2"/>
          <c:tx>
            <c:v>Monthly Mix</c:v>
          </c:tx>
          <c:cat>
            <c:strRef>
              <c:f>'Revenue'!$B$4:$B$27</c:f>
              <c:strCache>
                <c:ptCount val="0"/>
              </c:strCache>
            </c:strRef>
          </c:cat>
          <c:val>
            <c:numRef>
              <c:f>'Revenue'!$E$4:$E$27</c:f>
              <c:numCache>
                <c:formatCode>0.0%</c:formatCode>
                <c:ptCount val="0"/>
              </c:numCache>
            </c:numRef>
          </c:val>
          <c:smooth val="0"/>
        </c:ser>
        <c:ser>
          <c:idx val="3"/>
          <c:order val="3"/>
          <c:tx>
            <c:v>Season Mix</c:v>
          </c:tx>
          <c:cat>
            <c:strRef>
              <c:f>'Revenue'!$B$4:$B$27</c:f>
              <c:strCache>
                <c:ptCount val="0"/>
              </c:strCache>
            </c:strRef>
          </c:cat>
          <c:val>
            <c:numRef>
              <c:f>'Revenue'!$F$4:$F$27</c:f>
              <c:numCache>
                <c:formatCode>0.0%</c:formatCode>
                <c:ptCount val="0"/>
              </c:numCache>
            </c:numRef>
          </c:val>
          <c:smooth val="0"/>
        </c:ser>
        <c:ser>
          <c:idx val="4"/>
          <c:order val="4"/>
          <c:tx>
            <c:v>Annual Mix</c:v>
          </c:tx>
          <c:cat>
            <c:strRef>
              <c:f>'Revenue'!$B$4:$B$27</c:f>
              <c:strCache>
                <c:ptCount val="0"/>
              </c:strCache>
            </c:strRef>
          </c:cat>
          <c:val>
            <c:numRef>
              <c:f>'Revenue'!$G$4:$G$27</c:f>
              <c:numCache>
                <c:formatCode>0.0%</c:formatCode>
                <c:ptCount val="0"/>
              </c:numCache>
            </c:numRef>
          </c:val>
          <c:smooth val="0"/>
        </c:ser>
        <c:ser>
          <c:idx val="5"/>
          <c:order val="5"/>
          <c:tx>
            <c:v>Recognized ARPPU / month</c:v>
          </c:tx>
          <c:cat>
            <c:strRef>
              <c:f>'Revenue'!$B$4:$B$27</c:f>
              <c:strCache>
                <c:ptCount val="0"/>
              </c:strCache>
            </c:strRef>
          </c:cat>
          <c:val>
            <c:numRef>
              <c:f>'Revenue'!$H$4:$H$27</c:f>
              <c:numCache>
                <c:formatCode/>
                <c:ptCount val="0"/>
              </c:numCache>
            </c:numRef>
          </c:val>
          <c:smooth val="0"/>
        </c:ser>
        <c:ser>
          <c:idx val="6"/>
          <c:order val="6"/>
          <c:tx>
            <c:v>MRR / Recognized Revenue</c:v>
          </c:tx>
          <c:cat>
            <c:strRef>
              <c:f>'Revenue'!$B$4:$B$27</c:f>
              <c:strCache>
                <c:ptCount val="0"/>
              </c:strCache>
            </c:strRef>
          </c:cat>
          <c:val>
            <c:numRef>
              <c:f>'Revenue'!$I$4:$I$27</c:f>
              <c:numCache>
                <c:formatCode/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Active Paid Users Forecast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Scenario</c:v>
          </c:tx>
          <c:cat>
            <c:strRef>
              <c:f>'Funnel'!$B$4:$B$27</c:f>
              <c:strCache>
                <c:ptCount val="0"/>
              </c:strCache>
            </c:strRef>
          </c:cat>
          <c:val>
            <c:numRef>
              <c:f>'Funnel'!$C$4:$C$27</c:f>
              <c:numCache>
                <c:formatCode/>
                <c:ptCount val="0"/>
              </c:numCache>
            </c:numRef>
          </c:val>
          <c:smooth val="0"/>
        </c:ser>
        <c:ser>
          <c:idx val="1"/>
          <c:order val="1"/>
          <c:tx>
            <c:v>Traffic</c:v>
          </c:tx>
          <c:cat>
            <c:strRef>
              <c:f>'Funnel'!$B$4:$B$27</c:f>
              <c:strCache>
                <c:ptCount val="0"/>
              </c:strCache>
            </c:strRef>
          </c:cat>
          <c:val>
            <c:numRef>
              <c:f>'Funnel'!$D$4:$D$27</c:f>
              <c:numCache>
                <c:formatCode>#,##0;[Red](#,##0);-</c:formatCode>
                <c:ptCount val="0"/>
              </c:numCache>
            </c:numRef>
          </c:val>
          <c:smooth val="0"/>
        </c:ser>
        <c:ser>
          <c:idx val="2"/>
          <c:order val="2"/>
          <c:tx>
            <c:v>Leads</c:v>
          </c:tx>
          <c:cat>
            <c:strRef>
              <c:f>'Funnel'!$B$4:$B$27</c:f>
              <c:strCache>
                <c:ptCount val="0"/>
              </c:strCache>
            </c:strRef>
          </c:cat>
          <c:val>
            <c:numRef>
              <c:f>'Funnel'!$E$4:$E$27</c:f>
              <c:numCache>
                <c:formatCode>#,##0;[Red](#,##0);-</c:formatCode>
                <c:ptCount val="0"/>
              </c:numCache>
            </c:numRef>
          </c:val>
          <c:smooth val="0"/>
        </c:ser>
        <c:ser>
          <c:idx val="3"/>
          <c:order val="3"/>
          <c:tx>
            <c:v>Registrations</c:v>
          </c:tx>
          <c:cat>
            <c:strRef>
              <c:f>'Funnel'!$B$4:$B$27</c:f>
              <c:strCache>
                <c:ptCount val="0"/>
              </c:strCache>
            </c:strRef>
          </c:cat>
          <c:val>
            <c:numRef>
              <c:f>'Funnel'!$F$4:$F$27</c:f>
              <c:numCache>
                <c:formatCode>#,##0;[Red](#,##0);-</c:formatCode>
                <c:ptCount val="0"/>
              </c:numCache>
            </c:numRef>
          </c:val>
          <c:smooth val="0"/>
        </c:ser>
        <c:ser>
          <c:idx val="4"/>
          <c:order val="4"/>
          <c:tx>
            <c:v>Activated Users</c:v>
          </c:tx>
          <c:cat>
            <c:strRef>
              <c:f>'Funnel'!$B$4:$B$27</c:f>
              <c:strCache>
                <c:ptCount val="0"/>
              </c:strCache>
            </c:strRef>
          </c:cat>
          <c:val>
            <c:numRef>
              <c:f>'Funnel'!$G$4:$G$27</c:f>
              <c:numCache>
                <c:formatCode>#,##0;[Red](#,##0);-</c:formatCode>
                <c:ptCount val="0"/>
              </c:numCache>
            </c:numRef>
          </c:val>
          <c:smooth val="0"/>
        </c:ser>
        <c:ser>
          <c:idx val="5"/>
          <c:order val="5"/>
          <c:tx>
            <c:v>New Paid Users</c:v>
          </c:tx>
          <c:cat>
            <c:strRef>
              <c:f>'Funnel'!$B$4:$B$27</c:f>
              <c:strCache>
                <c:ptCount val="0"/>
              </c:strCache>
            </c:strRef>
          </c:cat>
          <c:val>
            <c:numRef>
              <c:f>'Funnel'!$H$4:$H$27</c:f>
              <c:numCache>
                <c:formatCode>#,##0;[Red](#,##0);-</c:formatCode>
                <c:ptCount val="0"/>
              </c:numCache>
            </c:numRef>
          </c:val>
          <c:smooth val="0"/>
        </c:ser>
        <c:ser>
          <c:idx val="6"/>
          <c:order val="6"/>
          <c:tx>
            <c:v>Visitor→Lead</c:v>
          </c:tx>
          <c:cat>
            <c:strRef>
              <c:f>'Funnel'!$B$4:$B$27</c:f>
              <c:strCache>
                <c:ptCount val="0"/>
              </c:strCache>
            </c:strRef>
          </c:cat>
          <c:val>
            <c:numRef>
              <c:f>'Funnel'!$I$4:$I$27</c:f>
              <c:numCache>
                <c:formatCode>0.0%</c:formatCode>
                <c:ptCount val="0"/>
              </c:numCache>
            </c:numRef>
          </c:val>
          <c:smooth val="0"/>
        </c:ser>
        <c:ser>
          <c:idx val="7"/>
          <c:order val="7"/>
          <c:tx>
            <c:v>Lead→Reg</c:v>
          </c:tx>
          <c:cat>
            <c:strRef>
              <c:f>'Funnel'!$B$4:$B$27</c:f>
              <c:strCache>
                <c:ptCount val="0"/>
              </c:strCache>
            </c:strRef>
          </c:cat>
          <c:val>
            <c:numRef>
              <c:f>'Funnel'!$J$4:$J$27</c:f>
              <c:numCache>
                <c:formatCode>0.0%</c:formatCode>
                <c:ptCount val="0"/>
              </c:numCache>
            </c:numRef>
          </c:val>
          <c:smooth val="0"/>
        </c:ser>
        <c:ser>
          <c:idx val="8"/>
          <c:order val="8"/>
          <c:tx>
            <c:v>Reg→Act</c:v>
          </c:tx>
          <c:cat>
            <c:strRef>
              <c:f>'Funnel'!$B$4:$B$27</c:f>
              <c:strCache>
                <c:ptCount val="0"/>
              </c:strCache>
            </c:strRef>
          </c:cat>
          <c:val>
            <c:numRef>
              <c:f>'Funnel'!$K$4:$K$27</c:f>
              <c:numCache>
                <c:formatCode>0.0%</c:formatCode>
                <c:ptCount val="0"/>
              </c:numCache>
            </c:numRef>
          </c:val>
          <c:smooth val="0"/>
        </c:ser>
        <c:ser>
          <c:idx val="9"/>
          <c:order val="9"/>
          <c:tx>
            <c:v>Act→Paid</c:v>
          </c:tx>
          <c:cat>
            <c:strRef>
              <c:f>'Funnel'!$B$4:$B$27</c:f>
              <c:strCache>
                <c:ptCount val="0"/>
              </c:strCache>
            </c:strRef>
          </c:cat>
          <c:val>
            <c:numRef>
              <c:f>'Funnel'!$L$4:$L$27</c:f>
              <c:numCache>
                <c:formatCode>0.0%</c:formatCode>
                <c:ptCount val="0"/>
              </c:numCache>
            </c:numRef>
          </c:val>
          <c:smooth val="0"/>
        </c:ser>
        <c:ser>
          <c:idx val="10"/>
          <c:order val="10"/>
          <c:tx>
            <c:v>Cum. Paid Created</c:v>
          </c:tx>
          <c:cat>
            <c:strRef>
              <c:f>'Funnel'!$B$4:$B$27</c:f>
              <c:strCache>
                <c:ptCount val="0"/>
              </c:strCache>
            </c:strRef>
          </c:cat>
          <c:val>
            <c:numRef>
              <c:f>'Funnel'!$M$4:$M$27</c:f>
              <c:numCache>
                <c:formatCode>#,##0;[Red](#,##0);-</c:formatCode>
                <c:ptCount val="0"/>
              </c:numCache>
            </c:numRef>
          </c:val>
          <c:smooth val="0"/>
        </c:ser>
        <c:ser>
          <c:idx val="11"/>
          <c:order val="11"/>
          <c:tx>
            <c:v>Active Paid Users</c:v>
          </c:tx>
          <c:cat>
            <c:strRef>
              <c:f>'Funnel'!$B$4:$B$27</c:f>
              <c:strCache>
                <c:ptCount val="0"/>
              </c:strCache>
            </c:strRef>
          </c:cat>
          <c:val>
            <c:numRef>
              <c:f>'Funnel'!$N$4:$N$27</c:f>
              <c:numCache>
                <c:formatCode>#,##0;[Red](#,##0);-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3464742888e4888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17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8dfd8381bc9437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ssumptionsTable" displayName="AssumptionsTable" ref="A3:H38" headerRowCount="1">
  <x:tableColumns count="8">
    <x:tableColumn id="1" name="parameter"/>
    <x:tableColumn id="2" name="description"/>
    <x:tableColumn id="3" name="value"/>
    <x:tableColumn id="4" name="unit"/>
    <x:tableColumn id="5" name="source_type"/>
    <x:tableColumn id="6" name="confidence"/>
    <x:tableColumn id="7" name="editable"/>
    <x:tableColumn id="8" name="source / notes"/>
  </x:tableColumns>
  <x:tableStyleInfo name="TableStyleMedium2" showRowStripes="1"/>
</x:table>
</file>

<file path=xl/tables/table2.xml><?xml version="1.0" encoding="utf-8"?>
<x:table xmlns:x="http://schemas.openxmlformats.org/spreadsheetml/2006/main" id="3" name="FunnelTable" displayName="FunnelTable" ref="A3:O27" headerRowCount="1">
  <x:tableColumns count="15">
    <x:tableColumn id="1" name="Month #"/>
    <x:tableColumn id="2" name="Month"/>
    <x:tableColumn id="3" name="Scenario"/>
    <x:tableColumn id="4" name="Traffic"/>
    <x:tableColumn id="5" name="Leads"/>
    <x:tableColumn id="6" name="Registrations"/>
    <x:tableColumn id="7" name="Activated Users"/>
    <x:tableColumn id="8" name="New Paid Users"/>
    <x:tableColumn id="9" name="Visitor→Lead"/>
    <x:tableColumn id="10" name="Lead→Reg"/>
    <x:tableColumn id="11" name="Reg→Act"/>
    <x:tableColumn id="12" name="Act→Paid"/>
    <x:tableColumn id="13" name="Cum. Paid Created"/>
    <x:tableColumn id="14" name="Active Paid Users"/>
    <x:tableColumn id="15" name="Churned Users"/>
  </x:tableColumns>
  <x:tableStyleInfo name="TableStyleMedium2" showRowStripes="1"/>
</x:table>
</file>

<file path=xl/tables/table3.xml><?xml version="1.0" encoding="utf-8"?>
<x:table xmlns:x="http://schemas.openxmlformats.org/spreadsheetml/2006/main" id="4" name="RevenueTable" displayName="RevenueTable" ref="A3:N27" headerRowCount="1">
  <x:tableColumns count="14">
    <x:tableColumn id="1" name="Month #"/>
    <x:tableColumn id="2" name="Month"/>
    <x:tableColumn id="3" name="Active Paid Users"/>
    <x:tableColumn id="4" name="Monthly Price Avg"/>
    <x:tableColumn id="5" name="Monthly Mix"/>
    <x:tableColumn id="6" name="Season Mix"/>
    <x:tableColumn id="7" name="Annual Mix"/>
    <x:tableColumn id="8" name="Recognized ARPPU / month"/>
    <x:tableColumn id="9" name="MRR / Recognized Revenue"/>
    <x:tableColumn id="10" name="ARR Run-rate"/>
    <x:tableColumn id="11" name="New Paid Users"/>
    <x:tableColumn id="12" name="New Bookings Cash In"/>
    <x:tableColumn id="13" name="Cumulative Revenue"/>
    <x:tableColumn id="14" name="ARPU all registrations"/>
  </x:tableColumns>
  <x:tableStyleInfo name="TableStyleMedium2" showRowStripes="1"/>
</x:table>
</file>

<file path=xl/tables/table4.xml><?xml version="1.0" encoding="utf-8"?>
<x:table xmlns:x="http://schemas.openxmlformats.org/spreadsheetml/2006/main" id="5" name="CostsTable" displayName="CostsTable" ref="A3:O27" headerRowCount="1">
  <x:tableColumns count="15">
    <x:tableColumn id="1" name="Month #"/>
    <x:tableColumn id="2" name="Month"/>
    <x:tableColumn id="3" name="Revenue"/>
    <x:tableColumn id="4" name="Active Paid Users"/>
    <x:tableColumn id="5" name="Hosting / user"/>
    <x:tableColumn id="6" name="Support / user"/>
    <x:tableColumn id="7" name="Payment Processing"/>
    <x:tableColumn id="8" name="COGS Total"/>
    <x:tableColumn id="9" name="Gross Profit"/>
    <x:tableColumn id="10" name="Marketing Spend"/>
    <x:tableColumn id="11" name="Founder/Sales Cost"/>
    <x:tableColumn id="12" name="Fixed Dev Cost"/>
    <x:tableColumn id="13" name="Fixed Ops Cost"/>
    <x:tableColumn id="14" name="Operating Costs"/>
    <x:tableColumn id="15" name="Net Burn / Cash Flow"/>
  </x:tableColumns>
  <x:tableStyleInfo name="TableStyleMedium2" showRowStripes="1"/>
</x:table>
</file>

<file path=xl/tables/table5.xml><?xml version="1.0" encoding="utf-8"?>
<x:table xmlns:x="http://schemas.openxmlformats.org/spreadsheetml/2006/main" id="6" name="UnitEconomicsTable" displayName="UnitEconomicsTable" ref="A3:E25" headerRowCount="1">
  <x:tableColumns count="5">
    <x:tableColumn id="1" name="metric"/>
    <x:tableColumn id="2" name="formula / logic"/>
    <x:tableColumn id="3" name="value"/>
    <x:tableColumn id="4" name="unit"/>
    <x:tableColumn id="5" name="interpretation"/>
  </x:tableColumns>
  <x:tableStyleInfo name="TableStyleMedium2" showRowStripes="1"/>
</x:table>
</file>

<file path=xl/tables/table6.xml><?xml version="1.0" encoding="utf-8"?>
<x:table xmlns:x="http://schemas.openxmlformats.org/spreadsheetml/2006/main" id="2" name="ScenariosTable" displayName="ScenariosTable" ref="A3:E15" headerRowCount="1">
  <x:tableColumns count="5">
    <x:tableColumn id="1" name="metric"/>
    <x:tableColumn id="2" name="Conservative"/>
    <x:tableColumn id="3" name="Base"/>
    <x:tableColumn id="4" name="Aggressive"/>
    <x:tableColumn id="5" name="comment"/>
  </x:tableColumns>
  <x:tableStyleInfo name="TableStyleMedium2" showRowStripes="1"/>
</x:table>
</file>

<file path=xl/tables/table7.xml><?xml version="1.0" encoding="utf-8"?>
<x:table xmlns:x="http://schemas.openxmlformats.org/spreadsheetml/2006/main" id="7" name="CohortsTable" displayName="CohortsTable" ref="A3:N15" headerRowCount="1">
  <x:tableColumns count="14">
    <x:tableColumn id="1" name="Cohort Month"/>
    <x:tableColumn id="2" name="New Paid Users"/>
    <x:tableColumn id="3" name="Month 0"/>
    <x:tableColumn id="4" name="Month 1"/>
    <x:tableColumn id="5" name="Month 2"/>
    <x:tableColumn id="6" name="Month 3"/>
    <x:tableColumn id="7" name="Month 4"/>
    <x:tableColumn id="8" name="Month 5"/>
    <x:tableColumn id="9" name="Month 6"/>
    <x:tableColumn id="10" name="Month 7"/>
    <x:tableColumn id="11" name="Month 8"/>
    <x:tableColumn id="12" name="Month 9"/>
    <x:tableColumn id="13" name="Month 10"/>
    <x:tableColumn id="14" name="Month 11"/>
  </x:tableColumns>
  <x:tableStyleInfo name="TableStyleMedium2" showRowStripes="1"/>
</x:table>
</file>

<file path=xl/tables/table8.xml><?xml version="1.0" encoding="utf-8"?>
<x:table xmlns:x="http://schemas.openxmlformats.org/spreadsheetml/2006/main" id="8" name="DashboardTable" displayName="DashboardTable" ref="A3:H17" headerRowCount="1">
  <x:tableColumns count="8">
    <x:tableColumn id="1" name="KPI"/>
    <x:tableColumn id="2" name="Value"/>
    <x:tableColumn id="3" name="Unit"/>
    <x:tableColumn id="4" name="Status"/>
    <x:tableColumn id="5" name="Target / Warning"/>
    <x:tableColumn id="6" name="Formula source"/>
    <x:tableColumn id="7" name="Owner action"/>
    <x:tableColumn id="8" name="Priority"/>
  </x:tableColumns>
  <x:tableStyleInfo name="TableStyleMedium2" showRowStripes="1"/>
</x:table>
</file>

<file path=xl/tables/table9.xml><?xml version="1.0" encoding="utf-8"?>
<x:table xmlns:x="http://schemas.openxmlformats.org/spreadsheetml/2006/main" id="9" name="WarningsTable" displayName="WarningsTable" ref="A3:F13" headerRowCount="1">
  <x:tableColumns count="6">
    <x:tableColumn id="1" name="type"/>
    <x:tableColumn id="2" name="issue / hypothesis"/>
    <x:tableColumn id="3" name="current model assumption"/>
    <x:tableColumn id="4" name="risk"/>
    <x:tableColumn id="5" name="how to validate"/>
    <x:tableColumn id="6" name="priorit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3765a184eea455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c4b395f37cc4be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05f52a36bdb432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bd9d73dcf59482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9e2c3518dd2476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36b4ee9fed44a8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69d9c03dce34de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6f7d23d6ac8b4cec" /><Relationship Type="http://schemas.openxmlformats.org/officeDocument/2006/relationships/table" Target="/xl/tables/table8.xml" Id="R1d3a8e9a01af4a0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57c29d58ad9d4847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50" hidden="0" customWidth="1"/>
  </x:cols>
  <x:sheetData>
    <x:row r="1" ht="28" customHeight="1">
      <x:c r="A1" s="50" t="str">
        <x:v>Tandora Unit Economics Model — Assumptions</x:v>
      </x:c>
      <x:c r="B1" s="50"/>
      <x:c r="C1" s="50"/>
      <x:c r="D1" s="50"/>
      <x:c r="E1" s="50"/>
      <x:c r="F1" s="50"/>
      <x:c r="G1" s="50"/>
      <x:c r="H1" s="50"/>
      <x:c r="I1" s="26"/>
      <x:c r="J1" s="26"/>
      <x:c r="K1" s="26"/>
      <x:c r="L1" s="26"/>
      <x:c r="M1" s="26"/>
      <x:c r="N1" s="26"/>
      <x:c r="O1" s="26"/>
      <x:c r="P1" s="26"/>
      <x:c r="Q1" s="26"/>
      <x:c r="R1" s="26"/>
      <x:c r="S1" s="26"/>
      <x:c r="T1" s="26"/>
      <x:c r="U1" s="26"/>
      <x:c r="V1" s="26"/>
      <x:c r="W1" s="26"/>
      <x:c r="X1" s="26"/>
      <x:c r="Y1" s="26"/>
      <x:c r="Z1" s="26"/>
    </x:row>
    <x:row r="2">
      <x:c r="A2" s="26"/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</x:row>
    <x:row r="3">
      <x:c r="A3" s="14" t="str">
        <x:v>parameter</x:v>
      </x:c>
      <x:c r="B3" s="14" t="str">
        <x:v>description</x:v>
      </x:c>
      <x:c r="C3" s="14" t="str">
        <x:v>value</x:v>
      </x:c>
      <x:c r="D3" s="14" t="str">
        <x:v>unit</x:v>
      </x:c>
      <x:c r="E3" s="14" t="str">
        <x:v>source_type</x:v>
      </x:c>
      <x:c r="F3" s="14" t="str">
        <x:v>confidence</x:v>
      </x:c>
      <x:c r="G3" s="14" t="str">
        <x:v>editable</x:v>
      </x:c>
      <x:c r="H3" s="14" t="str">
        <x:v>source / notes</x:v>
      </x:c>
      <x:c r="I3" s="26"/>
      <x:c r="J3" s="26"/>
      <x:c r="K3" s="26"/>
      <x:c r="L3" s="26"/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</x:row>
    <x:row r="4">
      <x:c r="A4" s="26" t="str">
        <x:v>selected_scenario</x:v>
      </x:c>
      <x:c r="B4" s="26" t="str">
        <x:v>Scenario selector. Change manually: Conservative / Base / Aggressive</x:v>
      </x:c>
      <x:c r="C4" s="27" t="str">
        <x:v>Base</x:v>
      </x:c>
      <x:c r="D4" s="26" t="str">
        <x:v>text</x:v>
      </x:c>
      <x:c r="E4" s="26" t="str">
        <x:v>model control</x:v>
      </x:c>
      <x:c r="F4" s="26" t="str">
        <x:v>high</x:v>
      </x:c>
      <x:c r="G4" s="26" t="str">
        <x:v>yes</x:v>
      </x:c>
      <x:c r="H4" s="26" t="str">
        <x:v>Used by scenario-driven sheets</x:v>
      </x:c>
      <x:c r="I4" s="26"/>
      <x:c r="J4" s="26"/>
      <x:c r="K4" s="26"/>
      <x:c r="L4" s="26"/>
      <x:c r="M4" s="26"/>
      <x:c r="N4" s="26"/>
      <x:c r="O4" s="26"/>
      <x:c r="P4" s="26"/>
      <x:c r="Q4" s="26"/>
      <x:c r="R4" s="26"/>
      <x:c r="S4" s="26"/>
      <x:c r="T4" s="26"/>
      <x:c r="U4" s="26"/>
      <x:c r="V4" s="26"/>
      <x:c r="W4" s="26"/>
      <x:c r="X4" s="26"/>
      <x:c r="Y4" s="26"/>
      <x:c r="Z4" s="26"/>
    </x:row>
    <x:row r="5">
      <x:c r="A5" s="26" t="str">
        <x:v>model_start_month</x:v>
      </x:c>
      <x:c r="B5" s="26" t="str">
        <x:v>First month of forecast</x:v>
      </x:c>
      <x:c r="C5" s="27" t="str">
        <x:v>2026-06-01</x:v>
      </x:c>
      <x:c r="D5" s="26" t="str">
        <x:v>date</x:v>
      </x:c>
      <x:c r="E5" s="26" t="str">
        <x:v>AI assumption</x:v>
      </x:c>
      <x:c r="F5" s="26" t="str">
        <x:v>medium</x:v>
      </x:c>
      <x:c r="G5" s="26" t="str">
        <x:v>yes</x:v>
      </x:c>
      <x:c r="H5" s="26" t="str">
        <x:v>Editable</x:v>
      </x:c>
      <x:c r="I5" s="26"/>
      <x:c r="J5" s="26"/>
      <x:c r="K5" s="26"/>
      <x:c r="L5" s="26"/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>
      <x:c r="A6" s="26" t="str">
        <x:v>forecast_months</x:v>
      </x:c>
      <x:c r="B6" s="26" t="str">
        <x:v>Number of months in model</x:v>
      </x:c>
      <x:c r="C6" s="27" t="n">
        <x:v>24</x:v>
      </x:c>
      <x:c r="D6" s="26" t="str">
        <x:v>months</x:v>
      </x:c>
      <x:c r="E6" s="26" t="str">
        <x:v>AI assumption</x:v>
      </x:c>
      <x:c r="F6" s="26" t="str">
        <x:v>high</x:v>
      </x:c>
      <x:c r="G6" s="26" t="str">
        <x:v>yes</x:v>
      </x:c>
      <x:c r="H6" s="26" t="str">
        <x:v>MVP-stage planning horizon</x:v>
      </x:c>
      <x:c r="I6" s="26"/>
      <x:c r="J6" s="26"/>
      <x:c r="K6" s="26"/>
      <x:c r="L6" s="26"/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/>
      <x:c r="X6" s="26"/>
      <x:c r="Y6" s="26"/>
      <x:c r="Z6" s="26"/>
    </x:row>
    <x:row r="7">
      <x:c r="A7" s="26" t="str">
        <x:v>known_private_organizers</x:v>
      </x:c>
      <x:c r="B7" s="26" t="str">
        <x:v>Approx. reachable private organizers</x:v>
      </x:c>
      <x:c r="C7" s="27" t="n">
        <x:v>900</x:v>
      </x:c>
      <x:c r="D7" s="26" t="str">
        <x:v>organizers</x:v>
      </x:c>
      <x:c r="E7" s="26" t="str">
        <x:v>user input</x:v>
      </x:c>
      <x:c r="F7" s="26" t="str">
        <x:v>medium</x:v>
      </x:c>
      <x:c r="G7" s="26" t="str">
        <x:v>yes</x:v>
      </x:c>
      <x:c r="H7" s="26" t="str">
        <x:v>Provided by user</x:v>
      </x:c>
      <x:c r="I7" s="26"/>
      <x:c r="J7" s="26"/>
      <x:c r="K7" s="26"/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26"/>
      <x:c r="Z7" s="26"/>
    </x:row>
    <x:row r="8">
      <x:c r="A8" s="26" t="str">
        <x:v>market_camps_ru</x:v>
      </x:c>
      <x:c r="B8" s="26" t="str">
        <x:v>Approx. total camps in Russia</x:v>
      </x:c>
      <x:c r="C8" s="27" t="n">
        <x:v>29000</x:v>
      </x:c>
      <x:c r="D8" s="26" t="str">
        <x:v>camps</x:v>
      </x:c>
      <x:c r="E8" s="26" t="str">
        <x:v>user input</x:v>
      </x:c>
      <x:c r="F8" s="26" t="str">
        <x:v>low</x:v>
      </x:c>
      <x:c r="G8" s="26" t="str">
        <x:v>yes</x:v>
      </x:c>
      <x:c r="H8" s="26" t="str">
        <x:v>Provided by user; needs validation</x:v>
      </x:c>
      <x:c r="I8" s="26"/>
      <x:c r="J8" s="26"/>
      <x:c r="K8" s="26"/>
      <x:c r="L8" s="26"/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/>
      <x:c r="X8" s="26"/>
      <x:c r="Y8" s="26"/>
      <x:c r="Z8" s="26"/>
    </x:row>
    <x:row r="9">
      <x:c r="A9" s="26" t="str">
        <x:v>monthly_price_low</x:v>
      </x:c>
      <x:c r="B9" s="26" t="str">
        <x:v>Lower monthly tariff</x:v>
      </x:c>
      <x:c r="C9" s="27" t="n">
        <x:v>5900</x:v>
      </x:c>
      <x:c r="D9" s="26" t="str">
        <x:v>RUB/month</x:v>
      </x:c>
      <x:c r="E9" s="26" t="str">
        <x:v>user input</x:v>
      </x:c>
      <x:c r="F9" s="26" t="str">
        <x:v>high</x:v>
      </x:c>
      <x:c r="G9" s="26" t="str">
        <x:v>yes</x:v>
      </x:c>
      <x:c r="H9" s="26" t="str">
        <x:v>Provided by user</x:v>
      </x:c>
      <x:c r="I9" s="26"/>
      <x:c r="J9" s="26"/>
      <x:c r="K9" s="26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26"/>
      <x:c r="Z9" s="26"/>
    </x:row>
    <x:row r="10">
      <x:c r="A10" s="26" t="str">
        <x:v>monthly_price_high</x:v>
      </x:c>
      <x:c r="B10" s="26" t="str">
        <x:v>Higher monthly tariff</x:v>
      </x:c>
      <x:c r="C10" s="28" t="n">
        <x:v>7900</x:v>
      </x:c>
      <x:c r="D10" s="26" t="str">
        <x:v>RUB/month</x:v>
      </x:c>
      <x:c r="E10" s="26" t="str">
        <x:v>user input</x:v>
      </x:c>
      <x:c r="F10" s="26" t="str">
        <x:v>high</x:v>
      </x:c>
      <x:c r="G10" s="26" t="str">
        <x:v>yes</x:v>
      </x:c>
      <x:c r="H10" s="26" t="str">
        <x:v>Provided by user</x:v>
      </x:c>
      <x:c r="I10" s="26"/>
      <x:c r="J10" s="26"/>
      <x:c r="K10" s="26"/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</x:row>
    <x:row r="11">
      <x:c r="A11" s="26" t="str">
        <x:v>monthly_price_avg</x:v>
      </x:c>
      <x:c r="B11" s="26" t="str">
        <x:v>Weighted avg monthly subscription price</x:v>
      </x:c>
      <x:c r="C11" s="27" t="n">
        <x:f>(C8+C9)/2</x:f>
        <x:v>17450</x:v>
      </x:c>
      <x:c r="D11" s="26" t="str">
        <x:v>RUB/month</x:v>
      </x:c>
      <x:c r="E11" s="26" t="str">
        <x:v>formula</x:v>
      </x:c>
      <x:c r="F11" s="26" t="str">
        <x:v>medium</x:v>
      </x:c>
      <x:c r="G11" s="26" t="str">
        <x:v>no</x:v>
      </x:c>
      <x:c r="H11" s="26" t="str">
        <x:v>Average of user-provided range</x:v>
      </x:c>
      <x:c r="I11" s="26"/>
      <x:c r="J11" s="26"/>
      <x:c r="K11" s="26"/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</x:row>
    <x:row r="12">
      <x:c r="A12" s="26" t="str">
        <x:v>season_price</x:v>
      </x:c>
      <x:c r="B12" s="26" t="str">
        <x:v>Season tariff</x:v>
      </x:c>
      <x:c r="C12" s="27" t="n">
        <x:v>29900</x:v>
      </x:c>
      <x:c r="D12" s="26" t="str">
        <x:v>RUB/season</x:v>
      </x:c>
      <x:c r="E12" s="26" t="str">
        <x:v>user input</x:v>
      </x:c>
      <x:c r="F12" s="26" t="str">
        <x:v>high</x:v>
      </x:c>
      <x:c r="G12" s="26" t="str">
        <x:v>yes</x:v>
      </x:c>
      <x:c r="H12" s="26" t="str">
        <x:v>Provided by user</x:v>
      </x:c>
      <x:c r="I12" s="26"/>
      <x:c r="J12" s="26"/>
      <x:c r="K12" s="26"/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/>
      <x:c r="X12" s="26"/>
      <x:c r="Y12" s="26"/>
      <x:c r="Z12" s="26"/>
    </x:row>
    <x:row r="13">
      <x:c r="A13" s="26" t="str">
        <x:v>annual_price</x:v>
      </x:c>
      <x:c r="B13" s="26" t="str">
        <x:v>Annual tariff hypothesis</x:v>
      </x:c>
      <x:c r="C13" s="27" t="n">
        <x:v>69000</x:v>
      </x:c>
      <x:c r="D13" s="26" t="str">
        <x:v>RUB/year</x:v>
      </x:c>
      <x:c r="E13" s="26" t="str">
        <x:v>AI assumption</x:v>
      </x:c>
      <x:c r="F13" s="26" t="str">
        <x:v>low</x:v>
      </x:c>
      <x:c r="G13" s="26" t="str">
        <x:v>yes</x:v>
      </x:c>
      <x:c r="H13" s="26" t="str">
        <x:v>Roughly 10 months at avg monthly price with discount</x:v>
      </x:c>
      <x:c r="I13" s="26"/>
      <x:c r="J13" s="26"/>
      <x:c r="K13" s="26"/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</x:row>
    <x:row r="14">
      <x:c r="A14" s="26" t="str">
        <x:v>season_length_months</x:v>
      </x:c>
      <x:c r="B14" s="26" t="str">
        <x:v>Revenue recognition period for seasonal plan</x:v>
      </x:c>
      <x:c r="C14" s="27" t="n">
        <x:v>5</x:v>
      </x:c>
      <x:c r="D14" s="26" t="str">
        <x:v>months</x:v>
      </x:c>
      <x:c r="E14" s="26" t="str">
        <x:v>AI assumption</x:v>
      </x:c>
      <x:c r="F14" s="26" t="str">
        <x:v>medium</x:v>
      </x:c>
      <x:c r="G14" s="26" t="str">
        <x:v>yes</x:v>
      </x:c>
      <x:c r="H14" s="26" t="str">
        <x:v>Family camps often seasonal; validate</x:v>
      </x:c>
      <x:c r="I14" s="26"/>
      <x:c r="J14" s="26"/>
      <x:c r="K14" s="26"/>
      <x:c r="L14" s="26"/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/>
      <x:c r="X14" s="26"/>
      <x:c r="Y14" s="26"/>
      <x:c r="Z14" s="26"/>
    </x:row>
    <x:row r="15">
      <x:c r="A15" s="26" t="str">
        <x:v>monthly_plan_mix</x:v>
      </x:c>
      <x:c r="B15" s="26" t="str">
        <x:v>Share of paying users on monthly plan</x:v>
      </x:c>
      <x:c r="C15" s="27" t="n">
        <x:v>0.45</x:v>
      </x:c>
      <x:c r="D15" s="26" t="str">
        <x:v>% of paid users</x:v>
      </x:c>
      <x:c r="E15" s="26" t="str">
        <x:v>AI assumption</x:v>
      </x:c>
      <x:c r="F15" s="26" t="str">
        <x:v>low</x:v>
      </x:c>
      <x:c r="G15" s="26" t="str">
        <x:v>yes</x:v>
      </x:c>
      <x:c r="H15" s="26" t="str">
        <x:v>Validate by sales conversations</x:v>
      </x:c>
      <x:c r="I15" s="26"/>
      <x:c r="J15" s="26"/>
      <x:c r="K15" s="26"/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</x:row>
    <x:row r="16">
      <x:c r="A16" s="26" t="str">
        <x:v>season_plan_mix</x:v>
      </x:c>
      <x:c r="B16" s="26" t="str">
        <x:v>Share of paying users on seasonal plan</x:v>
      </x:c>
      <x:c r="C16" s="28" t="n">
        <x:v>0.45</x:v>
      </x:c>
      <x:c r="D16" s="26" t="str">
        <x:v>% of paid users</x:v>
      </x:c>
      <x:c r="E16" s="26" t="str">
        <x:v>AI assumption</x:v>
      </x:c>
      <x:c r="F16" s="26" t="str">
        <x:v>low</x:v>
      </x:c>
      <x:c r="G16" s="26" t="str">
        <x:v>yes</x:v>
      </x:c>
      <x:c r="H16" s="26" t="str">
        <x:v>Validate by offer tests</x:v>
      </x:c>
      <x:c r="I16" s="26"/>
      <x:c r="J16" s="26"/>
      <x:c r="K16" s="26"/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</x:row>
    <x:row r="17">
      <x:c r="A17" s="26" t="str">
        <x:v>annual_plan_mix</x:v>
      </x:c>
      <x:c r="B17" s="26" t="str">
        <x:v>Share of paying users on annual plan</x:v>
      </x:c>
      <x:c r="C17" s="27" t="n">
        <x:f>1-C14-C15</x:f>
        <x:v>-4.45</x:v>
      </x:c>
      <x:c r="D17" s="26" t="str">
        <x:v>% of paid users</x:v>
      </x:c>
      <x:c r="E17" s="26" t="str">
        <x:v>formula</x:v>
      </x:c>
      <x:c r="F17" s="26" t="str">
        <x:v>medium</x:v>
      </x:c>
      <x:c r="G17" s="26" t="str">
        <x:v>no</x:v>
      </x:c>
      <x:c r="H17" s="26" t="str">
        <x:v>Must sum to 100%</x:v>
      </x:c>
      <x:c r="I17" s="26"/>
      <x:c r="J17" s="26"/>
      <x:c r="K17" s="26"/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</x:row>
    <x:row r="18">
      <x:c r="A18" s="26" t="str">
        <x:v>avg_paying_months_per_year</x:v>
      </x:c>
      <x:c r="B18" s="26" t="str">
        <x:v>Average active paid months/year for monthly customers</x:v>
      </x:c>
      <x:c r="C18" s="27" t="n">
        <x:v>5</x:v>
      </x:c>
      <x:c r="D18" s="26" t="str">
        <x:v>months/year</x:v>
      </x:c>
      <x:c r="E18" s="26" t="str">
        <x:v>AI assumption</x:v>
      </x:c>
      <x:c r="F18" s="26" t="str">
        <x:v>low</x:v>
      </x:c>
      <x:c r="G18" s="26" t="str">
        <x:v>yes</x:v>
      </x:c>
      <x:c r="H18" s="26" t="str">
        <x:v>Seasonality hypothesis</x:v>
      </x:c>
      <x:c r="I18" s="26"/>
      <x:c r="J18" s="26"/>
      <x:c r="K18" s="26"/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</x:row>
    <x:row r="19">
      <x:c r="A19" s="26" t="str">
        <x:v>traffic_monthly_base</x:v>
      </x:c>
      <x:c r="B19" s="26" t="str">
        <x:v>Website/landing traffic per month</x:v>
      </x:c>
      <x:c r="C19" s="27" t="n">
        <x:v>3000</x:v>
      </x:c>
      <x:c r="D19" s="26" t="str">
        <x:v>visits/month</x:v>
      </x:c>
      <x:c r="E19" s="26" t="str">
        <x:v>AI assumption</x:v>
      </x:c>
      <x:c r="F19" s="26" t="str">
        <x:v>low</x:v>
      </x:c>
      <x:c r="G19" s="26" t="str">
        <x:v>yes</x:v>
      </x:c>
      <x:c r="H19" s="26" t="str">
        <x:v>Telegram/VK/Yandex combined</x:v>
      </x:c>
      <x:c r="I19" s="26"/>
      <x:c r="J19" s="26"/>
      <x:c r="K19" s="26"/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>
      <x:c r="A20" s="26" t="str">
        <x:v>visitor_to_lead</x:v>
      </x:c>
      <x:c r="B20" s="26" t="str">
        <x:v>Visitor → lead conversion</x:v>
      </x:c>
      <x:c r="C20" s="27" t="n">
        <x:v>0.04</x:v>
      </x:c>
      <x:c r="D20" s="26" t="str">
        <x:v>%</x:v>
      </x:c>
      <x:c r="E20" s="26" t="str">
        <x:v>benchmark estimate</x:v>
      </x:c>
      <x:c r="F20" s="26" t="str">
        <x:v>low</x:v>
      </x:c>
      <x:c r="G20" s="26" t="str">
        <x:v>yes</x:v>
      </x:c>
      <x:c r="H20" s="26" t="str">
        <x:v>Early B2B niche funnel assumption</x:v>
      </x:c>
      <x:c r="I20" s="26"/>
      <x:c r="J20" s="26"/>
      <x:c r="K20" s="26"/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>
      <x:c r="A21" s="26" t="str">
        <x:v>lead_to_registration</x:v>
      </x:c>
      <x:c r="B21" s="26" t="str">
        <x:v>Lead → registration conversion</x:v>
      </x:c>
      <x:c r="C21" s="27" t="n">
        <x:v>0.45</x:v>
      </x:c>
      <x:c r="D21" s="26" t="str">
        <x:v>%</x:v>
      </x:c>
      <x:c r="E21" s="26" t="str">
        <x:v>AI assumption</x:v>
      </x:c>
      <x:c r="F21" s="26" t="str">
        <x:v>low</x:v>
      </x:c>
      <x:c r="G21" s="26" t="str">
        <x:v>yes</x:v>
      </x:c>
      <x:c r="H21" s="26" t="str">
        <x:v>Warm niche audience, demo/manual onboarding</x:v>
      </x:c>
      <x:c r="I21" s="26"/>
      <x:c r="J21" s="26"/>
      <x:c r="K21" s="26"/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>
      <x:c r="A22" s="26" t="str">
        <x:v>registration_to_activation</x:v>
      </x:c>
      <x:c r="B22" s="26" t="str">
        <x:v>Registration → activation conversion</x:v>
      </x:c>
      <x:c r="C22" s="27" t="n">
        <x:v>0.55</x:v>
      </x:c>
      <x:c r="D22" s="26" t="str">
        <x:v>%</x:v>
      </x:c>
      <x:c r="E22" s="26" t="str">
        <x:v>AI assumption</x:v>
      </x:c>
      <x:c r="F22" s="26" t="str">
        <x:v>low</x:v>
      </x:c>
      <x:c r="G22" s="26" t="str">
        <x:v>yes</x:v>
      </x:c>
      <x:c r="H22" s="26" t="str">
        <x:v>Activation = first family/card added</x:v>
      </x:c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>
      <x:c r="A23" s="26" t="str">
        <x:v>activation_to_paid</x:v>
      </x:c>
      <x:c r="B23" s="26" t="str">
        <x:v>Activation → paid conversion</x:v>
      </x:c>
      <x:c r="C23" s="27" t="n">
        <x:v>0.2</x:v>
      </x:c>
      <x:c r="D23" s="26" t="str">
        <x:v>%</x:v>
      </x:c>
      <x:c r="E23" s="26" t="str">
        <x:v>benchmark estimate</x:v>
      </x:c>
      <x:c r="F23" s="26" t="str">
        <x:v>low</x:v>
      </x:c>
      <x:c r="G23" s="26" t="str">
        <x:v>yes</x:v>
      </x:c>
      <x:c r="H23" s="26" t="str">
        <x:v>B2B SaaS trial-to-paid benchmarks ~18–25%; see sources</x:v>
      </x:c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>
      <x:c r="A24" s="26" t="str">
        <x:v>monthly_churn</x:v>
      </x:c>
      <x:c r="B24" s="26" t="str">
        <x:v>Monthly logo churn</x:v>
      </x:c>
      <x:c r="C24" s="27" t="n">
        <x:v>0.05</x:v>
      </x:c>
      <x:c r="D24" s="26" t="str">
        <x:v>%</x:v>
      </x:c>
      <x:c r="E24" s="26" t="str">
        <x:v>benchmark estimate</x:v>
      </x:c>
      <x:c r="F24" s="26" t="str">
        <x:v>low</x:v>
      </x:c>
      <x:c r="G24" s="26" t="str">
        <x:v>yes</x:v>
      </x:c>
      <x:c r="H24" s="26" t="str">
        <x:v>Implies ~46% annual retention; early SMB SaaS risk</x:v>
      </x:c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>
      <x:c r="A25" s="26" t="str">
        <x:v>gross_margin_target</x:v>
      </x:c>
      <x:c r="B25" s="26" t="str">
        <x:v>Target SaaS gross margin</x:v>
      </x:c>
      <x:c r="C25" s="27" t="n">
        <x:v>0.75</x:v>
      </x:c>
      <x:c r="D25" s="26" t="str">
        <x:v>%</x:v>
      </x:c>
      <x:c r="E25" s="26" t="str">
        <x:v>benchmark estimate</x:v>
      </x:c>
      <x:c r="F25" s="26" t="str">
        <x:v>medium</x:v>
      </x:c>
      <x:c r="G25" s="26" t="str">
        <x:v>yes</x:v>
      </x:c>
      <x:c r="H25" s="26" t="str">
        <x:v>SaaS gross margins often ~75–80%; see sources</x:v>
      </x:c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>
      <x:c r="A26" s="26" t="str">
        <x:v>hosting_per_paid_user</x:v>
      </x:c>
      <x:c r="B26" s="26" t="str">
        <x:v>Hosting/email/storage/support tooling per paid user</x:v>
      </x:c>
      <x:c r="C26" s="27" t="n">
        <x:v>350</x:v>
      </x:c>
      <x:c r="D26" s="26" t="str">
        <x:v>RUB/user/month</x:v>
      </x:c>
      <x:c r="E26" s="26" t="str">
        <x:v>AI assumption</x:v>
      </x:c>
      <x:c r="F26" s="26" t="str">
        <x:v>low</x:v>
      </x:c>
      <x:c r="G26" s="26" t="str">
        <x:v>yes</x:v>
      </x:c>
      <x:c r="H26" s="26" t="str">
        <x:v>Validate after production usage</x:v>
      </x:c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>
      <x:c r="A27" s="26" t="str">
        <x:v>support_hours_per_paid_user</x:v>
      </x:c>
      <x:c r="B27" s="26" t="str">
        <x:v>Support hours per paid user per month</x:v>
      </x:c>
      <x:c r="C27" s="27" t="n">
        <x:v>0.6</x:v>
      </x:c>
      <x:c r="D27" s="26" t="str">
        <x:v>hours</x:v>
      </x:c>
      <x:c r="E27" s="26" t="str">
        <x:v>AI assumption</x:v>
      </x:c>
      <x:c r="F27" s="26" t="str">
        <x:v>low</x:v>
      </x:c>
      <x:c r="G27" s="26" t="str">
        <x:v>yes</x:v>
      </x:c>
      <x:c r="H27" s="26" t="str">
        <x:v>High-touch onboarding expected</x:v>
      </x:c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>
      <x:c r="A28" s="26" t="str">
        <x:v>support_hour_cost</x:v>
      </x:c>
      <x:c r="B28" s="26" t="str">
        <x:v>Support/operator cost per hour</x:v>
      </x:c>
      <x:c r="C28" s="27" t="n">
        <x:v>800</x:v>
      </x:c>
      <x:c r="D28" s="26" t="str">
        <x:v>RUB/hour</x:v>
      </x:c>
      <x:c r="E28" s="26" t="str">
        <x:v>AI assumption</x:v>
      </x:c>
      <x:c r="F28" s="26" t="str">
        <x:v>low</x:v>
      </x:c>
      <x:c r="G28" s="26" t="str">
        <x:v>yes</x:v>
      </x:c>
      <x:c r="H28" s="26" t="str">
        <x:v>Founder/operator time valued at market proxy</x:v>
      </x:c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>
      <x:c r="A29" s="26" t="str">
        <x:v>payment_processing_rate</x:v>
      </x:c>
      <x:c r="B29" s="26" t="str">
        <x:v>Payment/acquiring fee</x:v>
      </x:c>
      <x:c r="C29" s="27" t="n">
        <x:v>0.025</x:v>
      </x:c>
      <x:c r="D29" s="26" t="str">
        <x:v>% of revenue</x:v>
      </x:c>
      <x:c r="E29" s="26" t="str">
        <x:v>AI assumption</x:v>
      </x:c>
      <x:c r="F29" s="26" t="str">
        <x:v>low</x:v>
      </x:c>
      <x:c r="G29" s="26" t="str">
        <x:v>yes</x:v>
      </x:c>
      <x:c r="H29" s="26" t="str">
        <x:v>Only if payments are processed through Tandora</x:v>
      </x:c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>
      <x:c r="A30" s="26" t="str">
        <x:v>marketing_spend_monthly</x:v>
      </x:c>
      <x:c r="B30" s="26" t="str">
        <x:v>Paid marketing spend/month</x:v>
      </x:c>
      <x:c r="C30" s="27" t="n">
        <x:v>80000</x:v>
      </x:c>
      <x:c r="D30" s="26" t="str">
        <x:v>RUB/month</x:v>
      </x:c>
      <x:c r="E30" s="26" t="str">
        <x:v>AI assumption</x:v>
      </x:c>
      <x:c r="F30" s="26" t="str">
        <x:v>low</x:v>
      </x:c>
      <x:c r="G30" s="26" t="str">
        <x:v>yes</x:v>
      </x:c>
      <x:c r="H30" s="26" t="str">
        <x:v>Yandex/VK tests + creative</x:v>
      </x:c>
      <x:c r="I30" s="26"/>
      <x:c r="J30" s="26"/>
      <x:c r="K30" s="26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>
      <x:c r="A31" s="26" t="str">
        <x:v>sales_founder_hours_monthly</x:v>
      </x:c>
      <x:c r="B31" s="26" t="str">
        <x:v>Founder/sales hours/month</x:v>
      </x:c>
      <x:c r="C31" s="27" t="n">
        <x:v>60</x:v>
      </x:c>
      <x:c r="D31" s="26" t="str">
        <x:v>hours/month</x:v>
      </x:c>
      <x:c r="E31" s="26" t="str">
        <x:v>AI assumption</x:v>
      </x:c>
      <x:c r="F31" s="26" t="str">
        <x:v>low</x:v>
      </x:c>
      <x:c r="G31" s="26" t="str">
        <x:v>yes</x:v>
      </x:c>
      <x:c r="H31" s="26" t="str">
        <x:v>Include opportunity cost</x:v>
      </x:c>
      <x:c r="I31" s="26"/>
      <x:c r="J31" s="26"/>
      <x:c r="K31" s="26"/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>
      <x:c r="A32" s="26" t="str">
        <x:v>sales_hour_cost</x:v>
      </x:c>
      <x:c r="B32" s="26" t="str">
        <x:v>Founder/sales hourly cost</x:v>
      </x:c>
      <x:c r="C32" s="27" t="n">
        <x:v>1000</x:v>
      </x:c>
      <x:c r="D32" s="26" t="str">
        <x:v>RUB/hour</x:v>
      </x:c>
      <x:c r="E32" s="26" t="str">
        <x:v>AI assumption</x:v>
      </x:c>
      <x:c r="F32" s="26" t="str">
        <x:v>low</x:v>
      </x:c>
      <x:c r="G32" s="26" t="str">
        <x:v>yes</x:v>
      </x:c>
      <x:c r="H32" s="26" t="str">
        <x:v>Editable opportunity-cost proxy</x:v>
      </x:c>
      <x:c r="I32" s="26"/>
      <x:c r="J32" s="26"/>
      <x:c r="K32" s="26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>
      <x:c r="A33" s="26" t="str">
        <x:v>fixed_dev_cost</x:v>
      </x:c>
      <x:c r="B33" s="26" t="str">
        <x:v>Fixed product/dev cost per month</x:v>
      </x:c>
      <x:c r="C33" s="27" t="n">
        <x:v>250000</x:v>
      </x:c>
      <x:c r="D33" s="26" t="str">
        <x:v>RUB/month</x:v>
      </x:c>
      <x:c r="E33" s="26" t="str">
        <x:v>AI assumption</x:v>
      </x:c>
      <x:c r="F33" s="26" t="str">
        <x:v>low</x:v>
      </x:c>
      <x:c r="G33" s="26" t="str">
        <x:v>yes</x:v>
      </x:c>
      <x:c r="H33" s="26" t="str">
        <x:v>Solo/small team MVP burn</x:v>
      </x:c>
      <x:c r="I33" s="26"/>
      <x:c r="J33" s="26"/>
      <x:c r="K33" s="26"/>
      <x:c r="L33" s="26"/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</x:row>
    <x:row r="34">
      <x:c r="A34" s="26" t="str">
        <x:v>fixed_ops_cost</x:v>
      </x:c>
      <x:c r="B34" s="26" t="str">
        <x:v>Fixed admin/legal/accounting/tools per month</x:v>
      </x:c>
      <x:c r="C34" s="27" t="n">
        <x:v>50000</x:v>
      </x:c>
      <x:c r="D34" s="26" t="str">
        <x:v>RUB/month</x:v>
      </x:c>
      <x:c r="E34" s="26" t="str">
        <x:v>AI assumption</x:v>
      </x:c>
      <x:c r="F34" s="26" t="str">
        <x:v>low</x:v>
      </x:c>
      <x:c r="G34" s="26" t="str">
        <x:v>yes</x:v>
      </x:c>
      <x:c r="H34" s="26" t="str">
        <x:v>Minimum operating overhead</x:v>
      </x:c>
      <x:c r="I34" s="26"/>
      <x:c r="J34" s="26"/>
      <x:c r="K34" s="26"/>
      <x:c r="L34" s="26"/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</x:row>
    <x:row r="35">
      <x:c r="A35" s="26" t="str">
        <x:v>cash_balance_start</x:v>
      </x:c>
      <x:c r="B35" s="26" t="str">
        <x:v>Starting cash available</x:v>
      </x:c>
      <x:c r="C35" s="27" t="n">
        <x:v>1500000</x:v>
      </x:c>
      <x:c r="D35" s="26" t="str">
        <x:v>RUB</x:v>
      </x:c>
      <x:c r="E35" s="26" t="str">
        <x:v>AI assumption</x:v>
      </x:c>
      <x:c r="F35" s="26" t="str">
        <x:v>low</x:v>
      </x:c>
      <x:c r="G35" s="26" t="str">
        <x:v>yes</x:v>
      </x:c>
      <x:c r="H35" s="26" t="str">
        <x:v>Runway model input</x:v>
      </x:c>
      <x:c r="I35" s="26"/>
      <x:c r="J35" s="26"/>
      <x:c r="K35" s="26"/>
      <x:c r="L35" s="26"/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</x:row>
    <x:row r="36">
      <x:c r="A36" s="26" t="str">
        <x:v>source_high_alpha</x:v>
      </x:c>
      <x:c r="B36" s="26" t="str">
        <x:v>SaaS retention/gross retention benchmark source</x:v>
      </x:c>
      <x:c r="C36" s="26" t="str">
        <x:v>https://www.highalpha.com/saas-benchmarks</x:v>
      </x:c>
      <x:c r="D36" s="26" t="str">
        <x:v>url</x:v>
      </x:c>
      <x:c r="E36" s="26" t="str">
        <x:v>external benchmark</x:v>
      </x:c>
      <x:c r="F36" s="26" t="str">
        <x:v>medium</x:v>
      </x:c>
      <x:c r="G36" s="26" t="str">
        <x:v>no</x:v>
      </x:c>
      <x:c r="H36" s="26" t="str">
        <x:v>2025 SaaS Benchmarks Report notes retaining 9/10 customers as norm</x:v>
      </x:c>
      <x:c r="I36" s="26"/>
      <x:c r="J36" s="26"/>
      <x:c r="K36" s="26"/>
      <x:c r="L36" s="26"/>
      <x:c r="M36" s="26"/>
      <x:c r="N36" s="26"/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</x:row>
    <x:row r="37">
      <x:c r="A37" s="26" t="str">
        <x:v>source_keybanc</x:v>
      </x:c>
      <x:c r="B37" s="26" t="str">
        <x:v>Private SaaS retention benchmark source</x:v>
      </x:c>
      <x:c r="C37" s="26" t="str">
        <x:v>https://investor.key.com/press-releases/news-details/2025/PRIVATE-SAAS-COMPANY-SURVEY-REVEALS-AI-DRIVEN-TRANSFORMATION-AND-SUSTAINED-OPERATIONAL-EXCELLENCE/default.aspx</x:v>
      </x:c>
      <x:c r="D37" s="26" t="str">
        <x:v>url</x:v>
      </x:c>
      <x:c r="E37" s="26" t="str">
        <x:v>external benchmark</x:v>
      </x:c>
      <x:c r="F37" s="26" t="str">
        <x:v>medium</x:v>
      </x:c>
      <x:c r="G37" s="26" t="str">
        <x:v>no</x:v>
      </x:c>
      <x:c r="H37" s="26" t="str">
        <x:v>KeyBanc says GRR expected to approach 90%</x:v>
      </x:c>
      <x:c r="I37" s="26"/>
      <x:c r="J37" s="26"/>
      <x:c r="K37" s="26"/>
      <x:c r="L37" s="26"/>
      <x:c r="M37" s="26"/>
      <x:c r="N37" s="26"/>
      <x:c r="O37" s="26"/>
      <x:c r="P37" s="26"/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</x:row>
    <x:row r="38">
      <x:c r="A38" s="26" t="str">
        <x:v>source_scale_xp</x:v>
      </x:c>
      <x:c r="B38" s="26" t="str">
        <x:v>CAC payback formula/source</x:v>
      </x:c>
      <x:c r="C38" s="26" t="str">
        <x:v>https://www.scalexp.com/blog-saas-benchmarks-cac-payback-2025/</x:v>
      </x:c>
      <x:c r="D38" s="26" t="str">
        <x:v>url</x:v>
      </x:c>
      <x:c r="E38" s="26" t="str">
        <x:v>external benchmark</x:v>
      </x:c>
      <x:c r="F38" s="26" t="str">
        <x:v>medium</x:v>
      </x:c>
      <x:c r="G38" s="26" t="str">
        <x:v>no</x:v>
      </x:c>
      <x:c r="H38" s="26" t="str">
        <x:v>CAC payback = CAC / gross margin per customer</x:v>
      </x:c>
      <x:c r="I38" s="26"/>
      <x:c r="J38" s="26"/>
      <x:c r="K38" s="26"/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</x:row>
    <x:row r="39">
      <x:c r="A39" s="26" t="str">
        <x:v>source_userpilot</x:v>
      </x:c>
      <x:c r="B39" s="26" t="str">
        <x:v>Trial conversion formula/source</x:v>
      </x:c>
      <x:c r="C39" s="26" t="str">
        <x:v>https://userpilot.com/blog/saas-average-conversion-rate/</x:v>
      </x:c>
      <x:c r="D39" s="26" t="str">
        <x:v>url</x:v>
      </x:c>
      <x:c r="E39" s="26" t="str">
        <x:v>external benchmark</x:v>
      </x:c>
      <x:c r="F39" s="26" t="str">
        <x:v>medium</x:v>
      </x:c>
      <x:c r="G39" s="26" t="str">
        <x:v>no</x:v>
      </x:c>
      <x:c r="H39" s="26" t="str">
        <x:v>Trial conversion = paid users / trial users</x:v>
      </x:c>
      <x:c r="I39" s="26"/>
      <x:c r="J39" s="26"/>
      <x:c r="K39" s="26"/>
      <x:c r="L39" s="26"/>
      <x:c r="M39" s="26"/>
      <x:c r="N39" s="26"/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</x:row>
    <x:row r="40">
      <x:c r="A40" s="26"/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  <x:c r="L40" s="26"/>
      <x:c r="M40" s="26"/>
      <x:c r="N40" s="26"/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</x:row>
    <x:row r="41">
      <x:c r="A41" s="26"/>
      <x:c r="B41" s="26"/>
      <x:c r="C41" s="26"/>
      <x:c r="D41" s="26"/>
      <x:c r="E41" s="26"/>
      <x:c r="F41" s="26"/>
      <x:c r="G41" s="26"/>
      <x:c r="H41" s="26"/>
      <x:c r="I41" s="26"/>
      <x:c r="J41" s="26"/>
      <x:c r="K41" s="26"/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</x:row>
    <x:row r="42">
      <x:c r="A42" s="26"/>
      <x:c r="B42" s="26"/>
      <x:c r="C42" s="26"/>
      <x:c r="D42" s="26"/>
      <x:c r="E42" s="26"/>
      <x:c r="F42" s="26"/>
      <x:c r="G42" s="26"/>
      <x:c r="H42" s="26"/>
      <x:c r="I42" s="26"/>
      <x:c r="J42" s="26"/>
      <x:c r="K42" s="26"/>
      <x:c r="L42" s="26"/>
      <x:c r="M42" s="26"/>
      <x:c r="N42" s="26"/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</x:row>
    <x:row r="43">
      <x:c r="A43" s="26"/>
      <x:c r="B43" s="26"/>
      <x:c r="C43" s="26"/>
      <x:c r="D43" s="26"/>
      <x:c r="E43" s="26"/>
      <x:c r="F43" s="26"/>
      <x:c r="G43" s="26"/>
      <x:c r="H43" s="26"/>
      <x:c r="I43" s="26"/>
      <x:c r="J43" s="26"/>
      <x:c r="K43" s="26"/>
      <x:c r="L43" s="26"/>
      <x:c r="M43" s="26"/>
      <x:c r="N43" s="26"/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</x:row>
    <x:row r="44">
      <x:c r="A44" s="26"/>
      <x:c r="B44" s="26"/>
      <x:c r="C44" s="26"/>
      <x:c r="D44" s="26"/>
      <x:c r="E44" s="26"/>
      <x:c r="F44" s="26"/>
      <x:c r="G44" s="26"/>
      <x:c r="H44" s="26"/>
      <x:c r="I44" s="26"/>
      <x:c r="J44" s="26"/>
      <x:c r="K44" s="26"/>
      <x:c r="L44" s="26"/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</x:row>
    <x:row r="45">
      <x:c r="A45" s="26"/>
      <x:c r="B45" s="26"/>
      <x:c r="C45" s="26"/>
      <x:c r="D45" s="26"/>
      <x:c r="E45" s="26"/>
      <x:c r="F45" s="26"/>
      <x:c r="G45" s="26"/>
      <x:c r="H45" s="26"/>
      <x:c r="I45" s="26"/>
      <x:c r="J45" s="26"/>
      <x:c r="K45" s="26"/>
      <x:c r="L45" s="26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</x:row>
    <x:row r="46">
      <x:c r="A46" s="26"/>
      <x:c r="B46" s="26"/>
      <x:c r="C46" s="26"/>
      <x:c r="D46" s="26"/>
      <x:c r="E46" s="26"/>
      <x:c r="F46" s="26"/>
      <x:c r="G46" s="26"/>
      <x:c r="H46" s="26"/>
      <x:c r="I46" s="26"/>
      <x:c r="J46" s="26"/>
      <x:c r="K46" s="26"/>
      <x:c r="L46" s="26"/>
      <x:c r="M46" s="26"/>
      <x:c r="N46" s="26"/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</x:row>
    <x:row r="47">
      <x:c r="A47" s="26"/>
      <x:c r="B47" s="26"/>
      <x:c r="C47" s="26"/>
      <x:c r="D47" s="26"/>
      <x:c r="E47" s="26"/>
      <x:c r="F47" s="26"/>
      <x:c r="G47" s="26"/>
      <x:c r="H47" s="26"/>
      <x:c r="I47" s="26"/>
      <x:c r="J47" s="26"/>
      <x:c r="K47" s="26"/>
      <x:c r="L47" s="26"/>
      <x:c r="M47" s="26"/>
      <x:c r="N47" s="26"/>
      <x:c r="O47" s="26"/>
      <x:c r="P47" s="26"/>
      <x:c r="Q47" s="26"/>
      <x:c r="R47" s="26"/>
      <x:c r="S47" s="26"/>
      <x:c r="T47" s="26"/>
      <x:c r="U47" s="26"/>
      <x:c r="V47" s="26"/>
      <x:c r="W47" s="26"/>
      <x:c r="X47" s="26"/>
      <x:c r="Y47" s="26"/>
      <x:c r="Z47" s="26"/>
    </x:row>
    <x:row r="48">
      <x:c r="A48" s="26"/>
      <x:c r="B48" s="26"/>
      <x:c r="C48" s="26"/>
      <x:c r="D48" s="26"/>
      <x:c r="E48" s="26"/>
      <x:c r="F48" s="26"/>
      <x:c r="G48" s="26"/>
      <x:c r="H48" s="26"/>
      <x:c r="I48" s="26"/>
      <x:c r="J48" s="26"/>
      <x:c r="K48" s="26"/>
      <x:c r="L48" s="26"/>
      <x:c r="M48" s="26"/>
      <x:c r="N48" s="26"/>
      <x:c r="O48" s="26"/>
      <x:c r="P48" s="26"/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</x:row>
    <x:row r="49">
      <x:c r="A49" s="26"/>
      <x:c r="B49" s="26"/>
      <x:c r="C49" s="26"/>
      <x:c r="D49" s="26"/>
      <x:c r="E49" s="26"/>
      <x:c r="F49" s="26"/>
      <x:c r="G49" s="26"/>
      <x:c r="H49" s="26"/>
      <x:c r="I49" s="26"/>
      <x:c r="J49" s="26"/>
      <x:c r="K49" s="26"/>
      <x:c r="L49" s="26"/>
      <x:c r="M49" s="26"/>
      <x:c r="N49" s="26"/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</x:row>
    <x:row r="50">
      <x:c r="A50" s="26"/>
      <x:c r="B50" s="26"/>
      <x:c r="C50" s="26"/>
      <x:c r="D50" s="26"/>
      <x:c r="E50" s="26"/>
      <x:c r="F50" s="26"/>
      <x:c r="G50" s="26"/>
      <x:c r="H50" s="26"/>
      <x:c r="I50" s="26"/>
      <x:c r="J50" s="26"/>
      <x:c r="K50" s="26"/>
      <x:c r="L50" s="26"/>
      <x:c r="M50" s="26"/>
      <x:c r="N50" s="26"/>
      <x:c r="O50" s="26"/>
      <x:c r="P50" s="26"/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</x:row>
    <x:row r="51">
      <x:c r="A51" s="26"/>
      <x:c r="B51" s="26"/>
      <x:c r="C51" s="26"/>
      <x:c r="D51" s="26"/>
      <x:c r="E51" s="26"/>
      <x:c r="F51" s="26"/>
      <x:c r="G51" s="26"/>
      <x:c r="H51" s="26"/>
      <x:c r="I51" s="26"/>
      <x:c r="J51" s="26"/>
      <x:c r="K51" s="26"/>
      <x:c r="L51" s="26"/>
      <x:c r="M51" s="26"/>
      <x:c r="N51" s="26"/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</x:row>
    <x:row r="52">
      <x:c r="A52" s="26"/>
      <x:c r="B52" s="26"/>
      <x:c r="C52" s="26"/>
      <x:c r="D52" s="26"/>
      <x:c r="E52" s="26"/>
      <x:c r="F52" s="26"/>
      <x:c r="G52" s="26"/>
      <x:c r="H52" s="26"/>
      <x:c r="I52" s="26"/>
      <x:c r="J52" s="26"/>
      <x:c r="K52" s="26"/>
      <x:c r="L52" s="26"/>
      <x:c r="M52" s="26"/>
      <x:c r="N52" s="26"/>
      <x:c r="O52" s="26"/>
      <x:c r="P52" s="26"/>
      <x:c r="Q52" s="26"/>
      <x:c r="R52" s="26"/>
      <x:c r="S52" s="26"/>
      <x:c r="T52" s="26"/>
      <x:c r="U52" s="26"/>
      <x:c r="V52" s="26"/>
      <x:c r="W52" s="26"/>
      <x:c r="X52" s="26"/>
      <x:c r="Y52" s="26"/>
      <x:c r="Z52" s="26"/>
    </x:row>
    <x:row r="53">
      <x:c r="A53" s="26"/>
      <x:c r="B53" s="26"/>
      <x:c r="C53" s="26"/>
      <x:c r="D53" s="26"/>
      <x:c r="E53" s="26"/>
      <x:c r="F53" s="26"/>
      <x:c r="G53" s="26"/>
      <x:c r="H53" s="26"/>
      <x:c r="I53" s="26"/>
      <x:c r="J53" s="26"/>
      <x:c r="K53" s="26"/>
      <x:c r="L53" s="26"/>
      <x:c r="M53" s="26"/>
      <x:c r="N53" s="26"/>
      <x:c r="O53" s="26"/>
      <x:c r="P53" s="26"/>
      <x:c r="Q53" s="26"/>
      <x:c r="R53" s="26"/>
      <x:c r="S53" s="26"/>
      <x:c r="T53" s="26"/>
      <x:c r="U53" s="26"/>
      <x:c r="V53" s="26"/>
      <x:c r="W53" s="26"/>
      <x:c r="X53" s="26"/>
      <x:c r="Y53" s="26"/>
      <x:c r="Z53" s="26"/>
    </x:row>
    <x:row r="54">
      <x:c r="A54" s="26"/>
      <x:c r="B54" s="26"/>
      <x:c r="C54" s="26"/>
      <x:c r="D54" s="26"/>
      <x:c r="E54" s="26"/>
      <x:c r="F54" s="26"/>
      <x:c r="G54" s="26"/>
      <x:c r="H54" s="26"/>
      <x:c r="I54" s="26"/>
      <x:c r="J54" s="26"/>
      <x:c r="K54" s="26"/>
      <x:c r="L54" s="26"/>
      <x:c r="M54" s="26"/>
      <x:c r="N54" s="26"/>
      <x:c r="O54" s="26"/>
      <x:c r="P54" s="26"/>
      <x:c r="Q54" s="26"/>
      <x:c r="R54" s="26"/>
      <x:c r="S54" s="26"/>
      <x:c r="T54" s="26"/>
      <x:c r="U54" s="26"/>
      <x:c r="V54" s="26"/>
      <x:c r="W54" s="26"/>
      <x:c r="X54" s="26"/>
      <x:c r="Y54" s="26"/>
      <x:c r="Z54" s="26"/>
    </x:row>
    <x:row r="55">
      <x:c r="A55" s="26"/>
      <x:c r="B55" s="26"/>
      <x:c r="C55" s="26"/>
      <x:c r="D55" s="26"/>
      <x:c r="E55" s="26"/>
      <x:c r="F55" s="26"/>
      <x:c r="G55" s="26"/>
      <x:c r="H55" s="26"/>
      <x:c r="I55" s="26"/>
      <x:c r="J55" s="26"/>
      <x:c r="K55" s="26"/>
      <x:c r="L55" s="26"/>
      <x:c r="M55" s="26"/>
      <x:c r="N55" s="26"/>
      <x:c r="O55" s="26"/>
      <x:c r="P55" s="26"/>
      <x:c r="Q55" s="26"/>
      <x:c r="R55" s="26"/>
      <x:c r="S55" s="26"/>
      <x:c r="T55" s="26"/>
      <x:c r="U55" s="26"/>
      <x:c r="V55" s="26"/>
      <x:c r="W55" s="26"/>
      <x:c r="X55" s="26"/>
      <x:c r="Y55" s="26"/>
      <x:c r="Z55" s="26"/>
    </x:row>
    <x:row r="56">
      <x:c r="A56" s="26"/>
      <x:c r="B56" s="26"/>
      <x:c r="C56" s="26"/>
      <x:c r="D56" s="26"/>
      <x:c r="E56" s="26"/>
      <x:c r="F56" s="26"/>
      <x:c r="G56" s="26"/>
      <x:c r="H56" s="26"/>
      <x:c r="I56" s="26"/>
      <x:c r="J56" s="26"/>
      <x:c r="K56" s="26"/>
      <x:c r="L56" s="26"/>
      <x:c r="M56" s="26"/>
      <x:c r="N56" s="26"/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</x:row>
    <x:row r="57">
      <x:c r="A57" s="26"/>
      <x:c r="B57" s="26"/>
      <x:c r="C57" s="26"/>
      <x:c r="D57" s="26"/>
      <x:c r="E57" s="26"/>
      <x:c r="F57" s="26"/>
      <x:c r="G57" s="26"/>
      <x:c r="H57" s="26"/>
      <x:c r="I57" s="26"/>
      <x:c r="J57" s="26"/>
      <x:c r="K57" s="26"/>
      <x:c r="L57" s="26"/>
      <x:c r="M57" s="26"/>
      <x:c r="N57" s="26"/>
      <x:c r="O57" s="26"/>
      <x:c r="P57" s="26"/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</x:row>
    <x:row r="58">
      <x:c r="A58" s="26"/>
      <x:c r="B58" s="26"/>
      <x:c r="C58" s="26"/>
      <x:c r="D58" s="26"/>
      <x:c r="E58" s="26"/>
      <x:c r="F58" s="26"/>
      <x:c r="G58" s="26"/>
      <x:c r="H58" s="26"/>
      <x:c r="I58" s="26"/>
      <x:c r="J58" s="26"/>
      <x:c r="K58" s="26"/>
      <x:c r="L58" s="26"/>
      <x:c r="M58" s="26"/>
      <x:c r="N58" s="26"/>
      <x:c r="O58" s="26"/>
      <x:c r="P58" s="26"/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</x:row>
    <x:row r="59">
      <x:c r="A59" s="26"/>
      <x:c r="B59" s="26"/>
      <x:c r="C59" s="26"/>
      <x:c r="D59" s="26"/>
      <x:c r="E59" s="26"/>
      <x:c r="F59" s="26"/>
      <x:c r="G59" s="26"/>
      <x:c r="H59" s="26"/>
      <x:c r="I59" s="26"/>
      <x:c r="J59" s="26"/>
      <x:c r="K59" s="26"/>
      <x:c r="L59" s="26"/>
      <x:c r="M59" s="26"/>
      <x:c r="N59" s="26"/>
      <x:c r="O59" s="26"/>
      <x:c r="P59" s="26"/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</x:row>
    <x:row r="60">
      <x:c r="A60" s="26"/>
      <x:c r="B60" s="26"/>
      <x:c r="C60" s="26"/>
      <x:c r="D60" s="26"/>
      <x:c r="E60" s="26"/>
      <x:c r="F60" s="26"/>
      <x:c r="G60" s="26"/>
      <x:c r="H60" s="26"/>
      <x:c r="I60" s="26"/>
      <x:c r="J60" s="26"/>
      <x:c r="K60" s="26"/>
      <x:c r="L60" s="26"/>
      <x:c r="M60" s="26"/>
      <x:c r="N60" s="26"/>
      <x:c r="O60" s="26"/>
      <x:c r="P60" s="26"/>
      <x:c r="Q60" s="26"/>
      <x:c r="R60" s="26"/>
      <x:c r="S60" s="26"/>
      <x:c r="T60" s="26"/>
      <x:c r="U60" s="26"/>
      <x:c r="V60" s="26"/>
      <x:c r="W60" s="26"/>
      <x:c r="X60" s="26"/>
      <x:c r="Y60" s="26"/>
      <x:c r="Z60" s="26"/>
    </x:row>
    <x:row r="61">
      <x:c r="A61" s="26"/>
      <x:c r="B61" s="26"/>
      <x:c r="C61" s="26"/>
      <x:c r="D61" s="26"/>
      <x:c r="E61" s="26"/>
      <x:c r="F61" s="26"/>
      <x:c r="G61" s="26"/>
      <x:c r="H61" s="26"/>
      <x:c r="I61" s="26"/>
      <x:c r="J61" s="26"/>
      <x:c r="K61" s="26"/>
      <x:c r="L61" s="26"/>
      <x:c r="M61" s="26"/>
      <x:c r="N61" s="26"/>
      <x:c r="O61" s="26"/>
      <x:c r="P61" s="26"/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</x:row>
    <x:row r="62">
      <x:c r="A62" s="26"/>
      <x:c r="B62" s="26"/>
      <x:c r="C62" s="26"/>
      <x:c r="D62" s="26"/>
      <x:c r="E62" s="26"/>
      <x:c r="F62" s="26"/>
      <x:c r="G62" s="26"/>
      <x:c r="H62" s="26"/>
      <x:c r="I62" s="26"/>
      <x:c r="J62" s="26"/>
      <x:c r="K62" s="26"/>
      <x:c r="L62" s="26"/>
      <x:c r="M62" s="26"/>
      <x:c r="N62" s="26"/>
      <x:c r="O62" s="26"/>
      <x:c r="P62" s="26"/>
      <x:c r="Q62" s="26"/>
      <x:c r="R62" s="26"/>
      <x:c r="S62" s="26"/>
      <x:c r="T62" s="26"/>
      <x:c r="U62" s="26"/>
      <x:c r="V62" s="26"/>
      <x:c r="W62" s="26"/>
      <x:c r="X62" s="26"/>
      <x:c r="Y62" s="26"/>
      <x:c r="Z62" s="26"/>
    </x:row>
    <x:row r="63">
      <x:c r="A63" s="26"/>
      <x:c r="B63" s="26"/>
      <x:c r="C63" s="26"/>
      <x:c r="D63" s="26"/>
      <x:c r="E63" s="26"/>
      <x:c r="F63" s="26"/>
      <x:c r="G63" s="26"/>
      <x:c r="H63" s="26"/>
      <x:c r="I63" s="26"/>
      <x:c r="J63" s="26"/>
      <x:c r="K63" s="26"/>
      <x:c r="L63" s="26"/>
      <x:c r="M63" s="26"/>
      <x:c r="N63" s="26"/>
      <x:c r="O63" s="26"/>
      <x:c r="P63" s="26"/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</x:row>
    <x:row r="64">
      <x:c r="A64" s="26"/>
      <x:c r="B64" s="26"/>
      <x:c r="C64" s="26"/>
      <x:c r="D64" s="26"/>
      <x:c r="E64" s="26"/>
      <x:c r="F64" s="26"/>
      <x:c r="G64" s="26"/>
      <x:c r="H64" s="26"/>
      <x:c r="I64" s="26"/>
      <x:c r="J64" s="26"/>
      <x:c r="K64" s="26"/>
      <x:c r="L64" s="26"/>
      <x:c r="M64" s="26"/>
      <x:c r="N64" s="26"/>
      <x:c r="O64" s="26"/>
      <x:c r="P64" s="26"/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</x:row>
    <x:row r="65">
      <x:c r="A65" s="26"/>
      <x:c r="B65" s="26"/>
      <x:c r="C65" s="26"/>
      <x:c r="D65" s="26"/>
      <x:c r="E65" s="26"/>
      <x:c r="F65" s="26"/>
      <x:c r="G65" s="26"/>
      <x:c r="H65" s="26"/>
      <x:c r="I65" s="26"/>
      <x:c r="J65" s="26"/>
      <x:c r="K65" s="26"/>
      <x:c r="L65" s="26"/>
      <x:c r="M65" s="26"/>
      <x:c r="N65" s="26"/>
      <x:c r="O65" s="26"/>
      <x:c r="P65" s="26"/>
      <x:c r="Q65" s="26"/>
      <x:c r="R65" s="26"/>
      <x:c r="S65" s="26"/>
      <x:c r="T65" s="26"/>
      <x:c r="U65" s="26"/>
      <x:c r="V65" s="26"/>
      <x:c r="W65" s="26"/>
      <x:c r="X65" s="26"/>
      <x:c r="Y65" s="26"/>
      <x:c r="Z65" s="26"/>
    </x:row>
    <x:row r="66">
      <x:c r="A66" s="26"/>
      <x:c r="B66" s="26"/>
      <x:c r="C66" s="26"/>
      <x:c r="D66" s="26"/>
      <x:c r="E66" s="26"/>
      <x:c r="F66" s="26"/>
      <x:c r="G66" s="26"/>
      <x:c r="H66" s="26"/>
      <x:c r="I66" s="26"/>
      <x:c r="J66" s="26"/>
      <x:c r="K66" s="26"/>
      <x:c r="L66" s="26"/>
      <x:c r="M66" s="26"/>
      <x:c r="N66" s="26"/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</x:row>
    <x:row r="67">
      <x:c r="A67" s="26"/>
      <x:c r="B67" s="26"/>
      <x:c r="C67" s="26"/>
      <x:c r="D67" s="26"/>
      <x:c r="E67" s="26"/>
      <x:c r="F67" s="26"/>
      <x:c r="G67" s="26"/>
      <x:c r="H67" s="26"/>
      <x:c r="I67" s="26"/>
      <x:c r="J67" s="26"/>
      <x:c r="K67" s="26"/>
      <x:c r="L67" s="26"/>
      <x:c r="M67" s="26"/>
      <x:c r="N67" s="26"/>
      <x:c r="O67" s="26"/>
      <x:c r="P67" s="26"/>
      <x:c r="Q67" s="26"/>
      <x:c r="R67" s="26"/>
      <x:c r="S67" s="26"/>
      <x:c r="T67" s="26"/>
      <x:c r="U67" s="26"/>
      <x:c r="V67" s="26"/>
      <x:c r="W67" s="26"/>
      <x:c r="X67" s="26"/>
      <x:c r="Y67" s="26"/>
      <x:c r="Z67" s="26"/>
    </x:row>
    <x:row r="68">
      <x:c r="A68" s="26"/>
      <x:c r="B68" s="26"/>
      <x:c r="C68" s="26"/>
      <x:c r="D68" s="26"/>
      <x:c r="E68" s="26"/>
      <x:c r="F68" s="26"/>
      <x:c r="G68" s="26"/>
      <x:c r="H68" s="26"/>
      <x:c r="I68" s="26"/>
      <x:c r="J68" s="26"/>
      <x:c r="K68" s="26"/>
      <x:c r="L68" s="26"/>
      <x:c r="M68" s="26"/>
      <x:c r="N68" s="26"/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6"/>
      <x:c r="Z68" s="26"/>
    </x:row>
    <x:row r="69">
      <x:c r="A69" s="26"/>
      <x:c r="B69" s="26"/>
      <x:c r="C69" s="26"/>
      <x:c r="D69" s="26"/>
      <x:c r="E69" s="26"/>
      <x:c r="F69" s="26"/>
      <x:c r="G69" s="26"/>
      <x:c r="H69" s="26"/>
      <x:c r="I69" s="26"/>
      <x:c r="J69" s="26"/>
      <x:c r="K69" s="26"/>
      <x:c r="L69" s="26"/>
      <x:c r="M69" s="26"/>
      <x:c r="N69" s="26"/>
      <x:c r="O69" s="26"/>
      <x:c r="P69" s="26"/>
      <x:c r="Q69" s="26"/>
      <x:c r="R69" s="26"/>
      <x:c r="S69" s="26"/>
      <x:c r="T69" s="26"/>
      <x:c r="U69" s="26"/>
      <x:c r="V69" s="26"/>
      <x:c r="W69" s="26"/>
      <x:c r="X69" s="26"/>
      <x:c r="Y69" s="26"/>
      <x:c r="Z69" s="26"/>
    </x:row>
    <x:row r="70">
      <x:c r="A70" s="26"/>
      <x:c r="B70" s="26"/>
      <x:c r="C70" s="26"/>
      <x:c r="D70" s="26"/>
      <x:c r="E70" s="26"/>
      <x:c r="F70" s="26"/>
      <x:c r="G70" s="26"/>
      <x:c r="H70" s="26"/>
      <x:c r="I70" s="26"/>
      <x:c r="J70" s="26"/>
      <x:c r="K70" s="26"/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</x:row>
    <x:row r="71">
      <x:c r="A71" s="26"/>
      <x:c r="B71" s="26"/>
      <x:c r="C71" s="26"/>
      <x:c r="D71" s="26"/>
      <x:c r="E71" s="26"/>
      <x:c r="F71" s="26"/>
      <x:c r="G71" s="26"/>
      <x:c r="H71" s="26"/>
      <x:c r="I71" s="26"/>
      <x:c r="J71" s="26"/>
      <x:c r="K71" s="26"/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6"/>
      <x:c r="Z71" s="26"/>
    </x:row>
    <x:row r="72">
      <x:c r="A72" s="26"/>
      <x:c r="B72" s="26"/>
      <x:c r="C72" s="26"/>
      <x:c r="D72" s="26"/>
      <x:c r="E72" s="26"/>
      <x:c r="F72" s="26"/>
      <x:c r="G72" s="26"/>
      <x:c r="H72" s="26"/>
      <x:c r="I72" s="26"/>
      <x:c r="J72" s="26"/>
      <x:c r="K72" s="26"/>
      <x:c r="L72" s="26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/>
      <x:c r="Y72" s="26"/>
      <x:c r="Z72" s="26"/>
    </x:row>
    <x:row r="73">
      <x:c r="A73" s="26"/>
      <x:c r="B73" s="26"/>
      <x:c r="C73" s="26"/>
      <x:c r="D73" s="26"/>
      <x:c r="E73" s="26"/>
      <x:c r="F73" s="26"/>
      <x:c r="G73" s="26"/>
      <x:c r="H73" s="26"/>
      <x:c r="I73" s="26"/>
      <x:c r="J73" s="26"/>
      <x:c r="K73" s="26"/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</x:row>
    <x:row r="74">
      <x:c r="A74" s="26"/>
      <x:c r="B74" s="26"/>
      <x:c r="C74" s="26"/>
      <x:c r="D74" s="26"/>
      <x:c r="E74" s="26"/>
      <x:c r="F74" s="26"/>
      <x:c r="G74" s="26"/>
      <x:c r="H74" s="26"/>
      <x:c r="I74" s="26"/>
      <x:c r="J74" s="26"/>
      <x:c r="K74" s="26"/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6"/>
      <x:c r="Z74" s="26"/>
    </x:row>
    <x:row r="75">
      <x:c r="A75" s="26"/>
      <x:c r="B75" s="26"/>
      <x:c r="C75" s="26"/>
      <x:c r="D75" s="26"/>
      <x:c r="E75" s="26"/>
      <x:c r="F75" s="26"/>
      <x:c r="G75" s="26"/>
      <x:c r="H75" s="26"/>
      <x:c r="I75" s="26"/>
      <x:c r="J75" s="26"/>
      <x:c r="K75" s="26"/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6"/>
      <x:c r="Z75" s="26"/>
    </x:row>
    <x:row r="76">
      <x:c r="A76" s="26"/>
      <x:c r="B76" s="26"/>
      <x:c r="C76" s="26"/>
      <x:c r="D76" s="26"/>
      <x:c r="E76" s="26"/>
      <x:c r="F76" s="26"/>
      <x:c r="G76" s="26"/>
      <x:c r="H76" s="26"/>
      <x:c r="I76" s="26"/>
      <x:c r="J76" s="26"/>
      <x:c r="K76" s="26"/>
      <x:c r="L76" s="26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6"/>
      <x:c r="Z76" s="26"/>
    </x:row>
    <x:row r="77">
      <x:c r="A77" s="26"/>
      <x:c r="B77" s="26"/>
      <x:c r="C77" s="26"/>
      <x:c r="D77" s="26"/>
      <x:c r="E77" s="26"/>
      <x:c r="F77" s="26"/>
      <x:c r="G77" s="26"/>
      <x:c r="H77" s="26"/>
      <x:c r="I77" s="26"/>
      <x:c r="J77" s="26"/>
      <x:c r="K77" s="26"/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</x:row>
    <x:row r="78">
      <x:c r="A78" s="26"/>
      <x:c r="B78" s="26"/>
      <x:c r="C78" s="26"/>
      <x:c r="D78" s="26"/>
      <x:c r="E78" s="26"/>
      <x:c r="F78" s="26"/>
      <x:c r="G78" s="26"/>
      <x:c r="H78" s="26"/>
      <x:c r="I78" s="26"/>
      <x:c r="J78" s="26"/>
      <x:c r="K78" s="26"/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6"/>
      <x:c r="Z78" s="26"/>
    </x:row>
    <x:row r="79">
      <x:c r="A79" s="26"/>
      <x:c r="B79" s="26"/>
      <x:c r="C79" s="26"/>
      <x:c r="D79" s="26"/>
      <x:c r="E79" s="26"/>
      <x:c r="F79" s="26"/>
      <x:c r="G79" s="26"/>
      <x:c r="H79" s="26"/>
      <x:c r="I79" s="26"/>
      <x:c r="J79" s="26"/>
      <x:c r="K79" s="26"/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/>
      <x:c r="Z79" s="26"/>
    </x:row>
    <x:row r="80">
      <x:c r="A80" s="26"/>
      <x:c r="B80" s="26"/>
      <x:c r="C80" s="26"/>
      <x:c r="D80" s="26"/>
      <x:c r="E80" s="26"/>
      <x:c r="F80" s="26"/>
      <x:c r="G80" s="26"/>
      <x:c r="H80" s="26"/>
      <x:c r="I80" s="26"/>
      <x:c r="J80" s="26"/>
      <x:c r="K80" s="26"/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</x:row>
    <x:row r="81">
      <x:c r="A81" s="26"/>
      <x:c r="B81" s="26"/>
      <x:c r="C81" s="26"/>
      <x:c r="D81" s="26"/>
      <x:c r="E81" s="26"/>
      <x:c r="F81" s="26"/>
      <x:c r="G81" s="26"/>
      <x:c r="H81" s="26"/>
      <x:c r="I81" s="26"/>
      <x:c r="J81" s="26"/>
      <x:c r="K81" s="26"/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  <x:c r="Z81" s="26"/>
    </x:row>
    <x:row r="82">
      <x:c r="A82" s="26"/>
      <x:c r="B82" s="26"/>
      <x:c r="C82" s="26"/>
      <x:c r="D82" s="26"/>
      <x:c r="E82" s="26"/>
      <x:c r="F82" s="26"/>
      <x:c r="G82" s="26"/>
      <x:c r="H82" s="26"/>
      <x:c r="I82" s="26"/>
      <x:c r="J82" s="26"/>
      <x:c r="K82" s="26"/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</x:row>
    <x:row r="83">
      <x:c r="A83" s="26"/>
      <x:c r="B83" s="26"/>
      <x:c r="C83" s="26"/>
      <x:c r="D83" s="26"/>
      <x:c r="E83" s="26"/>
      <x:c r="F83" s="26"/>
      <x:c r="G83" s="26"/>
      <x:c r="H83" s="26"/>
      <x:c r="I83" s="26"/>
      <x:c r="J83" s="26"/>
      <x:c r="K83" s="26"/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6"/>
    </x:row>
    <x:row r="84">
      <x:c r="A84" s="26"/>
      <x:c r="B84" s="26"/>
      <x:c r="C84" s="26"/>
      <x:c r="D84" s="26"/>
      <x:c r="E84" s="26"/>
      <x:c r="F84" s="26"/>
      <x:c r="G84" s="26"/>
      <x:c r="H84" s="26"/>
      <x:c r="I84" s="26"/>
      <x:c r="J84" s="26"/>
      <x:c r="K84" s="26"/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6"/>
    </x:row>
    <x:row r="85">
      <x:c r="A85" s="26"/>
      <x:c r="B85" s="26"/>
      <x:c r="C85" s="26"/>
      <x:c r="D85" s="26"/>
      <x:c r="E85" s="26"/>
      <x:c r="F85" s="26"/>
      <x:c r="G85" s="26"/>
      <x:c r="H85" s="26"/>
      <x:c r="I85" s="26"/>
      <x:c r="J85" s="26"/>
      <x:c r="K85" s="26"/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  <x:c r="Z85" s="26"/>
    </x:row>
    <x:row r="86">
      <x:c r="A86" s="26"/>
      <x:c r="B86" s="26"/>
      <x:c r="C86" s="26"/>
      <x:c r="D86" s="26"/>
      <x:c r="E86" s="26"/>
      <x:c r="F86" s="26"/>
      <x:c r="G86" s="26"/>
      <x:c r="H86" s="26"/>
      <x:c r="I86" s="26"/>
      <x:c r="J86" s="26"/>
      <x:c r="K86" s="26"/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6"/>
    </x:row>
    <x:row r="87">
      <x:c r="A87" s="26"/>
      <x:c r="B87" s="26"/>
      <x:c r="C87" s="26"/>
      <x:c r="D87" s="26"/>
      <x:c r="E87" s="26"/>
      <x:c r="F87" s="26"/>
      <x:c r="G87" s="26"/>
      <x:c r="H87" s="26"/>
      <x:c r="I87" s="26"/>
      <x:c r="J87" s="26"/>
      <x:c r="K87" s="26"/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6"/>
    </x:row>
    <x:row r="88">
      <x:c r="A88" s="26"/>
      <x:c r="B88" s="26"/>
      <x:c r="C88" s="26"/>
      <x:c r="D88" s="26"/>
      <x:c r="E88" s="26"/>
      <x:c r="F88" s="26"/>
      <x:c r="G88" s="26"/>
      <x:c r="H88" s="26"/>
      <x:c r="I88" s="26"/>
      <x:c r="J88" s="26"/>
      <x:c r="K88" s="26"/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6"/>
    </x:row>
    <x:row r="89">
      <x:c r="A89" s="26"/>
      <x:c r="B89" s="26"/>
      <x:c r="C89" s="26"/>
      <x:c r="D89" s="26"/>
      <x:c r="E89" s="26"/>
      <x:c r="F89" s="26"/>
      <x:c r="G89" s="26"/>
      <x:c r="H89" s="26"/>
      <x:c r="I89" s="26"/>
      <x:c r="J89" s="26"/>
      <x:c r="K89" s="26"/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6"/>
    </x:row>
    <x:row r="90">
      <x:c r="A90" s="26"/>
      <x:c r="B90" s="26"/>
      <x:c r="C90" s="26"/>
      <x:c r="D90" s="26"/>
      <x:c r="E90" s="26"/>
      <x:c r="F90" s="26"/>
      <x:c r="G90" s="26"/>
      <x:c r="H90" s="26"/>
      <x:c r="I90" s="26"/>
      <x:c r="J90" s="26"/>
      <x:c r="K90" s="26"/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6"/>
    </x:row>
    <x:row r="91">
      <x:c r="A91" s="26"/>
      <x:c r="B91" s="26"/>
      <x:c r="C91" s="26"/>
      <x:c r="D91" s="26"/>
      <x:c r="E91" s="26"/>
      <x:c r="F91" s="26"/>
      <x:c r="G91" s="26"/>
      <x:c r="H91" s="26"/>
      <x:c r="I91" s="26"/>
      <x:c r="J91" s="26"/>
      <x:c r="K91" s="26"/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6"/>
    </x:row>
    <x:row r="92">
      <x:c r="A92" s="26"/>
      <x:c r="B92" s="26"/>
      <x:c r="C92" s="26"/>
      <x:c r="D92" s="26"/>
      <x:c r="E92" s="26"/>
      <x:c r="F92" s="26"/>
      <x:c r="G92" s="26"/>
      <x:c r="H92" s="26"/>
      <x:c r="I92" s="26"/>
      <x:c r="J92" s="26"/>
      <x:c r="K92" s="26"/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6"/>
    </x:row>
    <x:row r="93">
      <x:c r="A93" s="26"/>
      <x:c r="B93" s="26"/>
      <x:c r="C93" s="26"/>
      <x:c r="D93" s="26"/>
      <x:c r="E93" s="26"/>
      <x:c r="F93" s="26"/>
      <x:c r="G93" s="26"/>
      <x:c r="H93" s="26"/>
      <x:c r="I93" s="26"/>
      <x:c r="J93" s="26"/>
      <x:c r="K93" s="26"/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6"/>
    </x:row>
    <x:row r="94">
      <x:c r="A94" s="26"/>
      <x:c r="B94" s="26"/>
      <x:c r="C94" s="26"/>
      <x:c r="D94" s="26"/>
      <x:c r="E94" s="26"/>
      <x:c r="F94" s="26"/>
      <x:c r="G94" s="26"/>
      <x:c r="H94" s="26"/>
      <x:c r="I94" s="26"/>
      <x:c r="J94" s="26"/>
      <x:c r="K94" s="26"/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6"/>
    </x:row>
    <x:row r="95">
      <x:c r="A95" s="26"/>
      <x:c r="B95" s="26"/>
      <x:c r="C95" s="26"/>
      <x:c r="D95" s="26"/>
      <x:c r="E95" s="26"/>
      <x:c r="F95" s="26"/>
      <x:c r="G95" s="26"/>
      <x:c r="H95" s="26"/>
      <x:c r="I95" s="26"/>
      <x:c r="J95" s="26"/>
      <x:c r="K95" s="26"/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</x:row>
    <x:row r="96">
      <x:c r="A96" s="26"/>
      <x:c r="B96" s="26"/>
      <x:c r="C96" s="26"/>
      <x:c r="D96" s="26"/>
      <x:c r="E96" s="26"/>
      <x:c r="F96" s="26"/>
      <x:c r="G96" s="26"/>
      <x:c r="H96" s="26"/>
      <x:c r="I96" s="26"/>
      <x:c r="J96" s="26"/>
      <x:c r="K96" s="26"/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</x:row>
    <x:row r="97">
      <x:c r="A97" s="26"/>
      <x:c r="B97" s="26"/>
      <x:c r="C97" s="26"/>
      <x:c r="D97" s="26"/>
      <x:c r="E97" s="26"/>
      <x:c r="F97" s="26"/>
      <x:c r="G97" s="26"/>
      <x:c r="H97" s="26"/>
      <x:c r="I97" s="26"/>
      <x:c r="J97" s="26"/>
      <x:c r="K97" s="26"/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</x:row>
    <x:row r="98">
      <x:c r="A98" s="26"/>
      <x:c r="B98" s="26"/>
      <x:c r="C98" s="26"/>
      <x:c r="D98" s="26"/>
      <x:c r="E98" s="26"/>
      <x:c r="F98" s="26"/>
      <x:c r="G98" s="26"/>
      <x:c r="H98" s="26"/>
      <x:c r="I98" s="26"/>
      <x:c r="J98" s="26"/>
      <x:c r="K98" s="26"/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</x:row>
    <x:row r="99">
      <x:c r="A99" s="26"/>
      <x:c r="B99" s="26"/>
      <x:c r="C99" s="26"/>
      <x:c r="D99" s="26"/>
      <x:c r="E99" s="26"/>
      <x:c r="F99" s="26"/>
      <x:c r="G99" s="26"/>
      <x:c r="H99" s="26"/>
      <x:c r="I99" s="26"/>
      <x:c r="J99" s="26"/>
      <x:c r="K99" s="26"/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</x:row>
    <x:row r="100">
      <x:c r="A100" s="26"/>
      <x:c r="B100" s="26"/>
      <x:c r="C100" s="26"/>
      <x:c r="D100" s="26"/>
      <x:c r="E100" s="26"/>
      <x:c r="F100" s="26"/>
      <x:c r="G100" s="26"/>
      <x:c r="H100" s="26"/>
      <x:c r="I100" s="26"/>
      <x:c r="J100" s="26"/>
      <x:c r="K100" s="26"/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</x:row>
    <x:row r="101">
      <x:c r="A101" s="26"/>
      <x:c r="B101" s="26"/>
      <x:c r="C101" s="26"/>
      <x:c r="D101" s="26"/>
      <x:c r="E101" s="26"/>
      <x:c r="F101" s="26"/>
      <x:c r="G101" s="26"/>
      <x:c r="H101" s="26"/>
      <x:c r="I101" s="26"/>
      <x:c r="J101" s="26"/>
      <x:c r="K101" s="26"/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</x:row>
    <x:row r="102">
      <x:c r="A102" s="26"/>
      <x:c r="B102" s="26"/>
      <x:c r="C102" s="26"/>
      <x:c r="D102" s="26"/>
      <x:c r="E102" s="26"/>
      <x:c r="F102" s="26"/>
      <x:c r="G102" s="26"/>
      <x:c r="H102" s="26"/>
      <x:c r="I102" s="26"/>
      <x:c r="J102" s="26"/>
      <x:c r="K102" s="26"/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  <x:c r="Z102" s="26"/>
    </x:row>
    <x:row r="103">
      <x:c r="A103" s="26"/>
      <x:c r="B103" s="26"/>
      <x:c r="C103" s="26"/>
      <x:c r="D103" s="26"/>
      <x:c r="E103" s="26"/>
      <x:c r="F103" s="26"/>
      <x:c r="G103" s="26"/>
      <x:c r="H103" s="26"/>
      <x:c r="I103" s="26"/>
      <x:c r="J103" s="26"/>
      <x:c r="K103" s="26"/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</x:row>
    <x:row r="104">
      <x:c r="A104" s="26"/>
      <x:c r="B104" s="26"/>
      <x:c r="C104" s="26"/>
      <x:c r="D104" s="26"/>
      <x:c r="E104" s="26"/>
      <x:c r="F104" s="26"/>
      <x:c r="G104" s="26"/>
      <x:c r="H104" s="26"/>
      <x:c r="I104" s="26"/>
      <x:c r="J104" s="26"/>
      <x:c r="K104" s="26"/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</x:row>
    <x:row r="105">
      <x:c r="A105" s="26"/>
      <x:c r="B105" s="26"/>
      <x:c r="C105" s="26"/>
      <x:c r="D105" s="26"/>
      <x:c r="E105" s="26"/>
      <x:c r="F105" s="26"/>
      <x:c r="G105" s="26"/>
      <x:c r="H105" s="26"/>
      <x:c r="I105" s="26"/>
      <x:c r="J105" s="26"/>
      <x:c r="K105" s="26"/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</x:row>
    <x:row r="106">
      <x:c r="A106" s="26"/>
      <x:c r="B106" s="26"/>
      <x:c r="C106" s="26"/>
      <x:c r="D106" s="26"/>
      <x:c r="E106" s="26"/>
      <x:c r="F106" s="26"/>
      <x:c r="G106" s="26"/>
      <x:c r="H106" s="26"/>
      <x:c r="I106" s="26"/>
      <x:c r="J106" s="26"/>
      <x:c r="K106" s="26"/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</x:row>
    <x:row r="107">
      <x:c r="A107" s="26"/>
      <x:c r="B107" s="26"/>
      <x:c r="C107" s="26"/>
      <x:c r="D107" s="26"/>
      <x:c r="E107" s="26"/>
      <x:c r="F107" s="26"/>
      <x:c r="G107" s="26"/>
      <x:c r="H107" s="26"/>
      <x:c r="I107" s="26"/>
      <x:c r="J107" s="26"/>
      <x:c r="K107" s="26"/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</x:row>
    <x:row r="108">
      <x:c r="A108" s="26"/>
      <x:c r="B108" s="26"/>
      <x:c r="C108" s="26"/>
      <x:c r="D108" s="26"/>
      <x:c r="E108" s="26"/>
      <x:c r="F108" s="26"/>
      <x:c r="G108" s="26"/>
      <x:c r="H108" s="26"/>
      <x:c r="I108" s="26"/>
      <x:c r="J108" s="26"/>
      <x:c r="K108" s="26"/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</x:row>
    <x:row r="109">
      <x:c r="A109" s="26"/>
      <x:c r="B109" s="26"/>
      <x:c r="C109" s="26"/>
      <x:c r="D109" s="26"/>
      <x:c r="E109" s="26"/>
      <x:c r="F109" s="26"/>
      <x:c r="G109" s="26"/>
      <x:c r="H109" s="26"/>
      <x:c r="I109" s="26"/>
      <x:c r="J109" s="26"/>
      <x:c r="K109" s="26"/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</x:row>
    <x:row r="110">
      <x:c r="A110" s="26"/>
      <x:c r="B110" s="26"/>
      <x:c r="C110" s="26"/>
      <x:c r="D110" s="26"/>
      <x:c r="E110" s="26"/>
      <x:c r="F110" s="26"/>
      <x:c r="G110" s="26"/>
      <x:c r="H110" s="26"/>
      <x:c r="I110" s="26"/>
      <x:c r="J110" s="26"/>
      <x:c r="K110" s="26"/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</x:row>
    <x:row r="111">
      <x:c r="A111" s="26"/>
      <x:c r="B111" s="26"/>
      <x:c r="C111" s="26"/>
      <x:c r="D111" s="26"/>
      <x:c r="E111" s="26"/>
      <x:c r="F111" s="26"/>
      <x:c r="G111" s="26"/>
      <x:c r="H111" s="26"/>
      <x:c r="I111" s="26"/>
      <x:c r="J111" s="26"/>
      <x:c r="K111" s="26"/>
      <x:c r="L111" s="26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/>
      <x:c r="Y111" s="26"/>
      <x:c r="Z111" s="26"/>
    </x:row>
    <x:row r="112">
      <x:c r="A112" s="26"/>
      <x:c r="B112" s="26"/>
      <x:c r="C112" s="26"/>
      <x:c r="D112" s="26"/>
      <x:c r="E112" s="26"/>
      <x:c r="F112" s="26"/>
      <x:c r="G112" s="26"/>
      <x:c r="H112" s="26"/>
      <x:c r="I112" s="26"/>
      <x:c r="J112" s="26"/>
      <x:c r="K112" s="26"/>
      <x:c r="L112" s="26"/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/>
      <x:c r="Z112" s="26"/>
    </x:row>
    <x:row r="113">
      <x:c r="A113" s="26"/>
      <x:c r="B113" s="26"/>
      <x:c r="C113" s="26"/>
      <x:c r="D113" s="26"/>
      <x:c r="E113" s="26"/>
      <x:c r="F113" s="26"/>
      <x:c r="G113" s="26"/>
      <x:c r="H113" s="26"/>
      <x:c r="I113" s="26"/>
      <x:c r="J113" s="26"/>
      <x:c r="K113" s="26"/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6"/>
    </x:row>
    <x:row r="114">
      <x:c r="A114" s="26"/>
      <x:c r="B114" s="26"/>
      <x:c r="C114" s="26"/>
      <x:c r="D114" s="26"/>
      <x:c r="E114" s="26"/>
      <x:c r="F114" s="26"/>
      <x:c r="G114" s="26"/>
      <x:c r="H114" s="26"/>
      <x:c r="I114" s="26"/>
      <x:c r="J114" s="26"/>
      <x:c r="K114" s="26"/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</x:row>
    <x:row r="115">
      <x:c r="A115" s="26"/>
      <x:c r="B115" s="26"/>
      <x:c r="C115" s="26"/>
      <x:c r="D115" s="26"/>
      <x:c r="E115" s="26"/>
      <x:c r="F115" s="26"/>
      <x:c r="G115" s="26"/>
      <x:c r="H115" s="26"/>
      <x:c r="I115" s="26"/>
      <x:c r="J115" s="26"/>
      <x:c r="K115" s="26"/>
      <x:c r="L115" s="26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6"/>
    </x:row>
    <x:row r="116">
      <x:c r="A116" s="26"/>
      <x:c r="B116" s="26"/>
      <x:c r="C116" s="26"/>
      <x:c r="D116" s="26"/>
      <x:c r="E116" s="26"/>
      <x:c r="F116" s="26"/>
      <x:c r="G116" s="26"/>
      <x:c r="H116" s="26"/>
      <x:c r="I116" s="26"/>
      <x:c r="J116" s="26"/>
      <x:c r="K116" s="26"/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</x:row>
    <x:row r="117">
      <x:c r="A117" s="26"/>
      <x:c r="B117" s="26"/>
      <x:c r="C117" s="26"/>
      <x:c r="D117" s="26"/>
      <x:c r="E117" s="26"/>
      <x:c r="F117" s="26"/>
      <x:c r="G117" s="26"/>
      <x:c r="H117" s="26"/>
      <x:c r="I117" s="26"/>
      <x:c r="J117" s="26"/>
      <x:c r="K117" s="26"/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</x:row>
    <x:row r="118">
      <x:c r="A118" s="26"/>
      <x:c r="B118" s="26"/>
      <x:c r="C118" s="26"/>
      <x:c r="D118" s="26"/>
      <x:c r="E118" s="26"/>
      <x:c r="F118" s="26"/>
      <x:c r="G118" s="26"/>
      <x:c r="H118" s="26"/>
      <x:c r="I118" s="26"/>
      <x:c r="J118" s="26"/>
      <x:c r="K118" s="26"/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</x:row>
    <x:row r="119">
      <x:c r="A119" s="26"/>
      <x:c r="B119" s="26"/>
      <x:c r="C119" s="26"/>
      <x:c r="D119" s="26"/>
      <x:c r="E119" s="26"/>
      <x:c r="F119" s="26"/>
      <x:c r="G119" s="26"/>
      <x:c r="H119" s="26"/>
      <x:c r="I119" s="26"/>
      <x:c r="J119" s="26"/>
      <x:c r="K119" s="26"/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</x:row>
    <x:row r="120">
      <x:c r="A120" s="26"/>
      <x:c r="B120" s="26"/>
      <x:c r="C120" s="26"/>
      <x:c r="D120" s="26"/>
      <x:c r="E120" s="26"/>
      <x:c r="F120" s="26"/>
      <x:c r="G120" s="26"/>
      <x:c r="H120" s="26"/>
      <x:c r="I120" s="26"/>
      <x:c r="J120" s="26"/>
      <x:c r="K120" s="26"/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</x:row>
    <x:row r="121">
      <x:c r="A121" s="26"/>
      <x:c r="B121" s="26"/>
      <x:c r="C121" s="26"/>
      <x:c r="D121" s="26"/>
      <x:c r="E121" s="26"/>
      <x:c r="F121" s="26"/>
      <x:c r="G121" s="26"/>
      <x:c r="H121" s="26"/>
      <x:c r="I121" s="26"/>
      <x:c r="J121" s="26"/>
      <x:c r="K121" s="26"/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6"/>
    </x:row>
    <x:row r="122">
      <x:c r="A122" s="26"/>
      <x:c r="B122" s="26"/>
      <x:c r="C122" s="26"/>
      <x:c r="D122" s="26"/>
      <x:c r="E122" s="26"/>
      <x:c r="F122" s="26"/>
      <x:c r="G122" s="26"/>
      <x:c r="H122" s="26"/>
      <x:c r="I122" s="26"/>
      <x:c r="J122" s="26"/>
      <x:c r="K122" s="26"/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6"/>
    </x:row>
    <x:row r="123">
      <x:c r="A123" s="26"/>
      <x:c r="B123" s="26"/>
      <x:c r="C123" s="26"/>
      <x:c r="D123" s="26"/>
      <x:c r="E123" s="26"/>
      <x:c r="F123" s="26"/>
      <x:c r="G123" s="26"/>
      <x:c r="H123" s="26"/>
      <x:c r="I123" s="26"/>
      <x:c r="J123" s="26"/>
      <x:c r="K123" s="26"/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6"/>
    </x:row>
    <x:row r="124">
      <x:c r="A124" s="26"/>
      <x:c r="B124" s="26"/>
      <x:c r="C124" s="26"/>
      <x:c r="D124" s="26"/>
      <x:c r="E124" s="26"/>
      <x:c r="F124" s="26"/>
      <x:c r="G124" s="26"/>
      <x:c r="H124" s="26"/>
      <x:c r="I124" s="26"/>
      <x:c r="J124" s="26"/>
      <x:c r="K124" s="26"/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</x:row>
    <x:row r="125">
      <x:c r="A125" s="26"/>
      <x:c r="B125" s="26"/>
      <x:c r="C125" s="26"/>
      <x:c r="D125" s="26"/>
      <x:c r="E125" s="26"/>
      <x:c r="F125" s="26"/>
      <x:c r="G125" s="26"/>
      <x:c r="H125" s="26"/>
      <x:c r="I125" s="26"/>
      <x:c r="J125" s="26"/>
      <x:c r="K125" s="26"/>
      <x:c r="L125" s="26"/>
      <x:c r="M125" s="26"/>
      <x:c r="N125" s="26"/>
      <x:c r="O125" s="26"/>
      <x:c r="P125" s="26"/>
      <x:c r="Q125" s="26"/>
      <x:c r="R125" s="26"/>
      <x:c r="S125" s="26"/>
      <x:c r="T125" s="26"/>
      <x:c r="U125" s="26"/>
      <x:c r="V125" s="26"/>
      <x:c r="W125" s="26"/>
      <x:c r="X125" s="26"/>
      <x:c r="Y125" s="26"/>
      <x:c r="Z125" s="26"/>
    </x:row>
    <x:row r="126">
      <x:c r="A126" s="26"/>
      <x:c r="B126" s="26"/>
      <x:c r="C126" s="26"/>
      <x:c r="D126" s="26"/>
      <x:c r="E126" s="26"/>
      <x:c r="F126" s="26"/>
      <x:c r="G126" s="26"/>
      <x:c r="H126" s="26"/>
      <x:c r="I126" s="26"/>
      <x:c r="J126" s="26"/>
      <x:c r="K126" s="26"/>
      <x:c r="L126" s="26"/>
      <x:c r="M126" s="26"/>
      <x:c r="N126" s="26"/>
      <x:c r="O126" s="26"/>
      <x:c r="P126" s="26"/>
      <x:c r="Q126" s="26"/>
      <x:c r="R126" s="26"/>
      <x:c r="S126" s="26"/>
      <x:c r="T126" s="26"/>
      <x:c r="U126" s="26"/>
      <x:c r="V126" s="26"/>
      <x:c r="W126" s="26"/>
      <x:c r="X126" s="26"/>
      <x:c r="Y126" s="26"/>
      <x:c r="Z126" s="26"/>
    </x:row>
    <x:row r="127">
      <x:c r="A127" s="26"/>
      <x:c r="B127" s="26"/>
      <x:c r="C127" s="26"/>
      <x:c r="D127" s="26"/>
      <x:c r="E127" s="26"/>
      <x:c r="F127" s="26"/>
      <x:c r="G127" s="26"/>
      <x:c r="H127" s="26"/>
      <x:c r="I127" s="26"/>
      <x:c r="J127" s="26"/>
      <x:c r="K127" s="26"/>
      <x:c r="L127" s="26"/>
      <x:c r="M127" s="26"/>
      <x:c r="N127" s="26"/>
      <x:c r="O127" s="26"/>
      <x:c r="P127" s="26"/>
      <x:c r="Q127" s="26"/>
      <x:c r="R127" s="26"/>
      <x:c r="S127" s="26"/>
      <x:c r="T127" s="26"/>
      <x:c r="U127" s="26"/>
      <x:c r="V127" s="26"/>
      <x:c r="W127" s="26"/>
      <x:c r="X127" s="26"/>
      <x:c r="Y127" s="26"/>
      <x:c r="Z127" s="26"/>
    </x:row>
    <x:row r="128">
      <x:c r="A128" s="26"/>
      <x:c r="B128" s="26"/>
      <x:c r="C128" s="26"/>
      <x:c r="D128" s="26"/>
      <x:c r="E128" s="26"/>
      <x:c r="F128" s="26"/>
      <x:c r="G128" s="26"/>
      <x:c r="H128" s="26"/>
      <x:c r="I128" s="26"/>
      <x:c r="J128" s="26"/>
      <x:c r="K128" s="26"/>
      <x:c r="L128" s="26"/>
      <x:c r="M128" s="26"/>
      <x:c r="N128" s="26"/>
      <x:c r="O128" s="26"/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6"/>
    </x:row>
    <x:row r="129">
      <x:c r="A129" s="26"/>
      <x:c r="B129" s="26"/>
      <x:c r="C129" s="26"/>
      <x:c r="D129" s="26"/>
      <x:c r="E129" s="26"/>
      <x:c r="F129" s="26"/>
      <x:c r="G129" s="26"/>
      <x:c r="H129" s="26"/>
      <x:c r="I129" s="26"/>
      <x:c r="J129" s="26"/>
      <x:c r="K129" s="26"/>
      <x:c r="L129" s="26"/>
      <x:c r="M129" s="26"/>
      <x:c r="N129" s="26"/>
      <x:c r="O129" s="26"/>
      <x:c r="P129" s="26"/>
      <x:c r="Q129" s="26"/>
      <x:c r="R129" s="26"/>
      <x:c r="S129" s="26"/>
      <x:c r="T129" s="26"/>
      <x:c r="U129" s="26"/>
      <x:c r="V129" s="26"/>
      <x:c r="W129" s="26"/>
      <x:c r="X129" s="26"/>
      <x:c r="Y129" s="26"/>
      <x:c r="Z129" s="26"/>
    </x:row>
    <x:row r="130">
      <x:c r="A130" s="26"/>
      <x:c r="B130" s="26"/>
      <x:c r="C130" s="26"/>
      <x:c r="D130" s="26"/>
      <x:c r="E130" s="26"/>
      <x:c r="F130" s="26"/>
      <x:c r="G130" s="26"/>
      <x:c r="H130" s="26"/>
      <x:c r="I130" s="26"/>
      <x:c r="J130" s="26"/>
      <x:c r="K130" s="26"/>
      <x:c r="L130" s="26"/>
      <x:c r="M130" s="26"/>
      <x:c r="N130" s="26"/>
      <x:c r="O130" s="26"/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/>
      <x:c r="Z130" s="26"/>
    </x:row>
    <x:row r="131">
      <x:c r="A131" s="26"/>
      <x:c r="B131" s="26"/>
      <x:c r="C131" s="26"/>
      <x:c r="D131" s="26"/>
      <x:c r="E131" s="26"/>
      <x:c r="F131" s="26"/>
      <x:c r="G131" s="26"/>
      <x:c r="H131" s="26"/>
      <x:c r="I131" s="26"/>
      <x:c r="J131" s="26"/>
      <x:c r="K131" s="26"/>
      <x:c r="L131" s="26"/>
      <x:c r="M131" s="26"/>
      <x:c r="N131" s="26"/>
      <x:c r="O131" s="26"/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6"/>
    </x:row>
    <x:row r="132">
      <x:c r="A132" s="26"/>
      <x:c r="B132" s="26"/>
      <x:c r="C132" s="26"/>
      <x:c r="D132" s="26"/>
      <x:c r="E132" s="26"/>
      <x:c r="F132" s="26"/>
      <x:c r="G132" s="26"/>
      <x:c r="H132" s="26"/>
      <x:c r="I132" s="26"/>
      <x:c r="J132" s="26"/>
      <x:c r="K132" s="26"/>
      <x:c r="L132" s="26"/>
      <x:c r="M132" s="26"/>
      <x:c r="N132" s="26"/>
      <x:c r="O132" s="26"/>
      <x:c r="P132" s="26"/>
      <x:c r="Q132" s="26"/>
      <x:c r="R132" s="26"/>
      <x:c r="S132" s="26"/>
      <x:c r="T132" s="26"/>
      <x:c r="U132" s="26"/>
      <x:c r="V132" s="26"/>
      <x:c r="W132" s="26"/>
      <x:c r="X132" s="26"/>
      <x:c r="Y132" s="26"/>
      <x:c r="Z132" s="26"/>
    </x:row>
    <x:row r="133">
      <x:c r="A133" s="26"/>
      <x:c r="B133" s="26"/>
      <x:c r="C133" s="26"/>
      <x:c r="D133" s="26"/>
      <x:c r="E133" s="26"/>
      <x:c r="F133" s="26"/>
      <x:c r="G133" s="26"/>
      <x:c r="H133" s="26"/>
      <x:c r="I133" s="26"/>
      <x:c r="J133" s="26"/>
      <x:c r="K133" s="26"/>
      <x:c r="L133" s="26"/>
      <x:c r="M133" s="26"/>
      <x:c r="N133" s="26"/>
      <x:c r="O133" s="26"/>
      <x:c r="P133" s="26"/>
      <x:c r="Q133" s="26"/>
      <x:c r="R133" s="26"/>
      <x:c r="S133" s="26"/>
      <x:c r="T133" s="26"/>
      <x:c r="U133" s="26"/>
      <x:c r="V133" s="26"/>
      <x:c r="W133" s="26"/>
      <x:c r="X133" s="26"/>
      <x:c r="Y133" s="26"/>
      <x:c r="Z133" s="26"/>
    </x:row>
    <x:row r="134">
      <x:c r="A134" s="26"/>
      <x:c r="B134" s="26"/>
      <x:c r="C134" s="26"/>
      <x:c r="D134" s="26"/>
      <x:c r="E134" s="26"/>
      <x:c r="F134" s="26"/>
      <x:c r="G134" s="26"/>
      <x:c r="H134" s="26"/>
      <x:c r="I134" s="26"/>
      <x:c r="J134" s="26"/>
      <x:c r="K134" s="26"/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6"/>
    </x:row>
    <x:row r="135">
      <x:c r="A135" s="26"/>
      <x:c r="B135" s="26"/>
      <x:c r="C135" s="26"/>
      <x:c r="D135" s="26"/>
      <x:c r="E135" s="26"/>
      <x:c r="F135" s="26"/>
      <x:c r="G135" s="26"/>
      <x:c r="H135" s="26"/>
      <x:c r="I135" s="26"/>
      <x:c r="J135" s="26"/>
      <x:c r="K135" s="26"/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</x:row>
    <x:row r="136">
      <x:c r="A136" s="26"/>
      <x:c r="B136" s="26"/>
      <x:c r="C136" s="26"/>
      <x:c r="D136" s="26"/>
      <x:c r="E136" s="26"/>
      <x:c r="F136" s="26"/>
      <x:c r="G136" s="26"/>
      <x:c r="H136" s="26"/>
      <x:c r="I136" s="26"/>
      <x:c r="J136" s="26"/>
      <x:c r="K136" s="26"/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</x:row>
    <x:row r="137">
      <x:c r="A137" s="26"/>
      <x:c r="B137" s="26"/>
      <x:c r="C137" s="26"/>
      <x:c r="D137" s="26"/>
      <x:c r="E137" s="26"/>
      <x:c r="F137" s="26"/>
      <x:c r="G137" s="26"/>
      <x:c r="H137" s="26"/>
      <x:c r="I137" s="26"/>
      <x:c r="J137" s="26"/>
      <x:c r="K137" s="26"/>
      <x:c r="L137" s="26"/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</x:row>
    <x:row r="138">
      <x:c r="A138" s="26"/>
      <x:c r="B138" s="26"/>
      <x:c r="C138" s="26"/>
      <x:c r="D138" s="26"/>
      <x:c r="E138" s="26"/>
      <x:c r="F138" s="26"/>
      <x:c r="G138" s="26"/>
      <x:c r="H138" s="26"/>
      <x:c r="I138" s="26"/>
      <x:c r="J138" s="26"/>
      <x:c r="K138" s="26"/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</x:row>
    <x:row r="139">
      <x:c r="A139" s="26"/>
      <x:c r="B139" s="26"/>
      <x:c r="C139" s="26"/>
      <x:c r="D139" s="26"/>
      <x:c r="E139" s="26"/>
      <x:c r="F139" s="26"/>
      <x:c r="G139" s="26"/>
      <x:c r="H139" s="26"/>
      <x:c r="I139" s="26"/>
      <x:c r="J139" s="26"/>
      <x:c r="K139" s="26"/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</x:row>
    <x:row r="140">
      <x:c r="A140" s="26"/>
      <x:c r="B140" s="26"/>
      <x:c r="C140" s="26"/>
      <x:c r="D140" s="26"/>
      <x:c r="E140" s="26"/>
      <x:c r="F140" s="26"/>
      <x:c r="G140" s="26"/>
      <x:c r="H140" s="26"/>
      <x:c r="I140" s="26"/>
      <x:c r="J140" s="26"/>
      <x:c r="K140" s="26"/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</x:row>
    <x:row r="141">
      <x:c r="A141" s="26"/>
      <x:c r="B141" s="26"/>
      <x:c r="C141" s="26"/>
      <x:c r="D141" s="26"/>
      <x:c r="E141" s="26"/>
      <x:c r="F141" s="26"/>
      <x:c r="G141" s="26"/>
      <x:c r="H141" s="26"/>
      <x:c r="I141" s="26"/>
      <x:c r="J141" s="26"/>
      <x:c r="K141" s="26"/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</x:row>
    <x:row r="142">
      <x:c r="A142" s="26"/>
      <x:c r="B142" s="26"/>
      <x:c r="C142" s="26"/>
      <x:c r="D142" s="26"/>
      <x:c r="E142" s="26"/>
      <x:c r="F142" s="26"/>
      <x:c r="G142" s="26"/>
      <x:c r="H142" s="26"/>
      <x:c r="I142" s="26"/>
      <x:c r="J142" s="26"/>
      <x:c r="K142" s="26"/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/>
      <x:c r="Z142" s="26"/>
    </x:row>
    <x:row r="143">
      <x:c r="A143" s="26"/>
      <x:c r="B143" s="26"/>
      <x:c r="C143" s="26"/>
      <x:c r="D143" s="26"/>
      <x:c r="E143" s="26"/>
      <x:c r="F143" s="26"/>
      <x:c r="G143" s="26"/>
      <x:c r="H143" s="26"/>
      <x:c r="I143" s="26"/>
      <x:c r="J143" s="26"/>
      <x:c r="K143" s="26"/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</x:row>
    <x:row r="144">
      <x:c r="A144" s="26"/>
      <x:c r="B144" s="26"/>
      <x:c r="C144" s="26"/>
      <x:c r="D144" s="26"/>
      <x:c r="E144" s="26"/>
      <x:c r="F144" s="26"/>
      <x:c r="G144" s="26"/>
      <x:c r="H144" s="26"/>
      <x:c r="I144" s="26"/>
      <x:c r="J144" s="26"/>
      <x:c r="K144" s="26"/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</x:row>
    <x:row r="145">
      <x:c r="A145" s="26"/>
      <x:c r="B145" s="26"/>
      <x:c r="C145" s="26"/>
      <x:c r="D145" s="26"/>
      <x:c r="E145" s="26"/>
      <x:c r="F145" s="26"/>
      <x:c r="G145" s="26"/>
      <x:c r="H145" s="26"/>
      <x:c r="I145" s="26"/>
      <x:c r="J145" s="26"/>
      <x:c r="K145" s="26"/>
      <x:c r="L145" s="26"/>
      <x:c r="M145" s="26"/>
      <x:c r="N145" s="26"/>
      <x:c r="O145" s="26"/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6"/>
    </x:row>
    <x:row r="146">
      <x:c r="A146" s="26"/>
      <x:c r="B146" s="26"/>
      <x:c r="C146" s="26"/>
      <x:c r="D146" s="26"/>
      <x:c r="E146" s="26"/>
      <x:c r="F146" s="26"/>
      <x:c r="G146" s="26"/>
      <x:c r="H146" s="26"/>
      <x:c r="I146" s="26"/>
      <x:c r="J146" s="26"/>
      <x:c r="K146" s="26"/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6"/>
    </x:row>
    <x:row r="147">
      <x:c r="A147" s="26"/>
      <x:c r="B147" s="26"/>
      <x:c r="C147" s="26"/>
      <x:c r="D147" s="26"/>
      <x:c r="E147" s="26"/>
      <x:c r="F147" s="26"/>
      <x:c r="G147" s="26"/>
      <x:c r="H147" s="26"/>
      <x:c r="I147" s="26"/>
      <x:c r="J147" s="26"/>
      <x:c r="K147" s="26"/>
      <x:c r="L147" s="26"/>
      <x:c r="M147" s="26"/>
      <x:c r="N147" s="26"/>
      <x:c r="O147" s="26"/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6"/>
    </x:row>
    <x:row r="148">
      <x:c r="A148" s="26"/>
      <x:c r="B148" s="26"/>
      <x:c r="C148" s="26"/>
      <x:c r="D148" s="26"/>
      <x:c r="E148" s="26"/>
      <x:c r="F148" s="26"/>
      <x:c r="G148" s="26"/>
      <x:c r="H148" s="26"/>
      <x:c r="I148" s="26"/>
      <x:c r="J148" s="26"/>
      <x:c r="K148" s="26"/>
      <x:c r="L148" s="26"/>
      <x:c r="M148" s="26"/>
      <x:c r="N148" s="26"/>
      <x:c r="O148" s="26"/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6"/>
    </x:row>
    <x:row r="149">
      <x:c r="A149" s="26"/>
      <x:c r="B149" s="26"/>
      <x:c r="C149" s="26"/>
      <x:c r="D149" s="26"/>
      <x:c r="E149" s="26"/>
      <x:c r="F149" s="26"/>
      <x:c r="G149" s="26"/>
      <x:c r="H149" s="26"/>
      <x:c r="I149" s="26"/>
      <x:c r="J149" s="26"/>
      <x:c r="K149" s="26"/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6"/>
    </x:row>
    <x:row r="150">
      <x:c r="A150" s="26"/>
      <x:c r="B150" s="26"/>
      <x:c r="C150" s="26"/>
      <x:c r="D150" s="26"/>
      <x:c r="E150" s="26"/>
      <x:c r="F150" s="26"/>
      <x:c r="G150" s="26"/>
      <x:c r="H150" s="26"/>
      <x:c r="I150" s="26"/>
      <x:c r="J150" s="26"/>
      <x:c r="K150" s="26"/>
      <x:c r="L150" s="26"/>
      <x:c r="M150" s="26"/>
      <x:c r="N150" s="26"/>
      <x:c r="O150" s="26"/>
      <x:c r="P150" s="26"/>
      <x:c r="Q150" s="26"/>
      <x:c r="R150" s="26"/>
      <x:c r="S150" s="26"/>
      <x:c r="T150" s="26"/>
      <x:c r="U150" s="26"/>
      <x:c r="V150" s="26"/>
      <x:c r="W150" s="26"/>
      <x:c r="X150" s="26"/>
      <x:c r="Y150" s="26"/>
      <x:c r="Z150" s="26"/>
    </x:row>
    <x:row r="151">
      <x:c r="A151" s="26"/>
      <x:c r="B151" s="26"/>
      <x:c r="C151" s="26"/>
      <x:c r="D151" s="26"/>
      <x:c r="E151" s="26"/>
      <x:c r="F151" s="26"/>
      <x:c r="G151" s="26"/>
      <x:c r="H151" s="26"/>
      <x:c r="I151" s="26"/>
      <x:c r="J151" s="26"/>
      <x:c r="K151" s="26"/>
      <x:c r="L151" s="26"/>
      <x:c r="M151" s="26"/>
      <x:c r="N151" s="26"/>
      <x:c r="O151" s="26"/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/>
      <x:c r="Z151" s="26"/>
    </x:row>
    <x:row r="152">
      <x:c r="A152" s="26"/>
      <x:c r="B152" s="26"/>
      <x:c r="C152" s="26"/>
      <x:c r="D152" s="26"/>
      <x:c r="E152" s="26"/>
      <x:c r="F152" s="26"/>
      <x:c r="G152" s="26"/>
      <x:c r="H152" s="26"/>
      <x:c r="I152" s="26"/>
      <x:c r="J152" s="26"/>
      <x:c r="K152" s="26"/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/>
      <x:c r="W152" s="26"/>
      <x:c r="X152" s="26"/>
      <x:c r="Y152" s="26"/>
      <x:c r="Z152" s="26"/>
    </x:row>
    <x:row r="153">
      <x:c r="A153" s="26"/>
      <x:c r="B153" s="26"/>
      <x:c r="C153" s="26"/>
      <x:c r="D153" s="26"/>
      <x:c r="E153" s="26"/>
      <x:c r="F153" s="26"/>
      <x:c r="G153" s="26"/>
      <x:c r="H153" s="26"/>
      <x:c r="I153" s="26"/>
      <x:c r="J153" s="26"/>
      <x:c r="K153" s="26"/>
      <x:c r="L153" s="26"/>
      <x:c r="M153" s="26"/>
      <x:c r="N153" s="26"/>
      <x:c r="O153" s="26"/>
      <x:c r="P153" s="26"/>
      <x:c r="Q153" s="26"/>
      <x:c r="R153" s="26"/>
      <x:c r="S153" s="26"/>
      <x:c r="T153" s="26"/>
      <x:c r="U153" s="26"/>
      <x:c r="V153" s="26"/>
      <x:c r="W153" s="26"/>
      <x:c r="X153" s="26"/>
      <x:c r="Y153" s="26"/>
      <x:c r="Z153" s="26"/>
    </x:row>
    <x:row r="154">
      <x:c r="A154" s="26"/>
      <x:c r="B154" s="26"/>
      <x:c r="C154" s="26"/>
      <x:c r="D154" s="26"/>
      <x:c r="E154" s="26"/>
      <x:c r="F154" s="26"/>
      <x:c r="G154" s="26"/>
      <x:c r="H154" s="26"/>
      <x:c r="I154" s="26"/>
      <x:c r="J154" s="26"/>
      <x:c r="K154" s="26"/>
      <x:c r="L154" s="26"/>
      <x:c r="M154" s="26"/>
      <x:c r="N154" s="26"/>
      <x:c r="O154" s="26"/>
      <x:c r="P154" s="26"/>
      <x:c r="Q154" s="26"/>
      <x:c r="R154" s="26"/>
      <x:c r="S154" s="26"/>
      <x:c r="T154" s="26"/>
      <x:c r="U154" s="26"/>
      <x:c r="V154" s="26"/>
      <x:c r="W154" s="26"/>
      <x:c r="X154" s="26"/>
      <x:c r="Y154" s="26"/>
      <x:c r="Z154" s="26"/>
    </x:row>
    <x:row r="155">
      <x:c r="A155" s="26"/>
      <x:c r="B155" s="26"/>
      <x:c r="C155" s="26"/>
      <x:c r="D155" s="26"/>
      <x:c r="E155" s="26"/>
      <x:c r="F155" s="26"/>
      <x:c r="G155" s="26"/>
      <x:c r="H155" s="26"/>
      <x:c r="I155" s="26"/>
      <x:c r="J155" s="26"/>
      <x:c r="K155" s="26"/>
      <x:c r="L155" s="26"/>
      <x:c r="M155" s="26"/>
      <x:c r="N155" s="26"/>
      <x:c r="O155" s="26"/>
      <x:c r="P155" s="26"/>
      <x:c r="Q155" s="26"/>
      <x:c r="R155" s="26"/>
      <x:c r="S155" s="26"/>
      <x:c r="T155" s="26"/>
      <x:c r="U155" s="26"/>
      <x:c r="V155" s="26"/>
      <x:c r="W155" s="26"/>
      <x:c r="X155" s="26"/>
      <x:c r="Y155" s="26"/>
      <x:c r="Z155" s="26"/>
    </x:row>
    <x:row r="156">
      <x:c r="A156" s="26"/>
      <x:c r="B156" s="26"/>
      <x:c r="C156" s="26"/>
      <x:c r="D156" s="26"/>
      <x:c r="E156" s="26"/>
      <x:c r="F156" s="26"/>
      <x:c r="G156" s="26"/>
      <x:c r="H156" s="26"/>
      <x:c r="I156" s="26"/>
      <x:c r="J156" s="26"/>
      <x:c r="K156" s="26"/>
      <x:c r="L156" s="26"/>
      <x:c r="M156" s="26"/>
      <x:c r="N156" s="26"/>
      <x:c r="O156" s="26"/>
      <x:c r="P156" s="26"/>
      <x:c r="Q156" s="26"/>
      <x:c r="R156" s="26"/>
      <x:c r="S156" s="26"/>
      <x:c r="T156" s="26"/>
      <x:c r="U156" s="26"/>
      <x:c r="V156" s="26"/>
      <x:c r="W156" s="26"/>
      <x:c r="X156" s="26"/>
      <x:c r="Y156" s="26"/>
      <x:c r="Z156" s="26"/>
    </x:row>
    <x:row r="157">
      <x:c r="A157" s="26"/>
      <x:c r="B157" s="26"/>
      <x:c r="C157" s="26"/>
      <x:c r="D157" s="26"/>
      <x:c r="E157" s="26"/>
      <x:c r="F157" s="26"/>
      <x:c r="G157" s="26"/>
      <x:c r="H157" s="26"/>
      <x:c r="I157" s="26"/>
      <x:c r="J157" s="26"/>
      <x:c r="K157" s="26"/>
      <x:c r="L157" s="26"/>
      <x:c r="M157" s="26"/>
      <x:c r="N157" s="26"/>
      <x:c r="O157" s="26"/>
      <x:c r="P157" s="26"/>
      <x:c r="Q157" s="26"/>
      <x:c r="R157" s="26"/>
      <x:c r="S157" s="26"/>
      <x:c r="T157" s="26"/>
      <x:c r="U157" s="26"/>
      <x:c r="V157" s="26"/>
      <x:c r="W157" s="26"/>
      <x:c r="X157" s="26"/>
      <x:c r="Y157" s="26"/>
      <x:c r="Z157" s="26"/>
    </x:row>
    <x:row r="158">
      <x:c r="A158" s="26"/>
      <x:c r="B158" s="26"/>
      <x:c r="C158" s="26"/>
      <x:c r="D158" s="26"/>
      <x:c r="E158" s="26"/>
      <x:c r="F158" s="26"/>
      <x:c r="G158" s="26"/>
      <x:c r="H158" s="26"/>
      <x:c r="I158" s="26"/>
      <x:c r="J158" s="26"/>
      <x:c r="K158" s="26"/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</x:row>
    <x:row r="159">
      <x:c r="A159" s="26"/>
      <x:c r="B159" s="26"/>
      <x:c r="C159" s="26"/>
      <x:c r="D159" s="26"/>
      <x:c r="E159" s="26"/>
      <x:c r="F159" s="26"/>
      <x:c r="G159" s="26"/>
      <x:c r="H159" s="26"/>
      <x:c r="I159" s="26"/>
      <x:c r="J159" s="26"/>
      <x:c r="K159" s="26"/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</x:row>
    <x:row r="160">
      <x:c r="A160" s="26"/>
      <x:c r="B160" s="26"/>
      <x:c r="C160" s="26"/>
      <x:c r="D160" s="26"/>
      <x:c r="E160" s="26"/>
      <x:c r="F160" s="26"/>
      <x:c r="G160" s="26"/>
      <x:c r="H160" s="26"/>
      <x:c r="I160" s="26"/>
      <x:c r="J160" s="26"/>
      <x:c r="K160" s="26"/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</x:row>
    <x:row r="161">
      <x:c r="A161" s="26"/>
      <x:c r="B161" s="26"/>
      <x:c r="C161" s="26"/>
      <x:c r="D161" s="26"/>
      <x:c r="E161" s="26"/>
      <x:c r="F161" s="26"/>
      <x:c r="G161" s="26"/>
      <x:c r="H161" s="26"/>
      <x:c r="I161" s="26"/>
      <x:c r="J161" s="26"/>
      <x:c r="K161" s="26"/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</x:row>
    <x:row r="162">
      <x:c r="A162" s="26"/>
      <x:c r="B162" s="26"/>
      <x:c r="C162" s="26"/>
      <x:c r="D162" s="26"/>
      <x:c r="E162" s="26"/>
      <x:c r="F162" s="26"/>
      <x:c r="G162" s="26"/>
      <x:c r="H162" s="26"/>
      <x:c r="I162" s="26"/>
      <x:c r="J162" s="26"/>
      <x:c r="K162" s="26"/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</x:row>
    <x:row r="163">
      <x:c r="A163" s="26"/>
      <x:c r="B163" s="26"/>
      <x:c r="C163" s="26"/>
      <x:c r="D163" s="26"/>
      <x:c r="E163" s="26"/>
      <x:c r="F163" s="26"/>
      <x:c r="G163" s="26"/>
      <x:c r="H163" s="26"/>
      <x:c r="I163" s="26"/>
      <x:c r="J163" s="26"/>
      <x:c r="K163" s="26"/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</x:row>
    <x:row r="164">
      <x:c r="A164" s="26"/>
      <x:c r="B164" s="26"/>
      <x:c r="C164" s="26"/>
      <x:c r="D164" s="26"/>
      <x:c r="E164" s="26"/>
      <x:c r="F164" s="26"/>
      <x:c r="G164" s="26"/>
      <x:c r="H164" s="26"/>
      <x:c r="I164" s="26"/>
      <x:c r="J164" s="26"/>
      <x:c r="K164" s="26"/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</x:row>
    <x:row r="165">
      <x:c r="A165" s="26"/>
      <x:c r="B165" s="26"/>
      <x:c r="C165" s="26"/>
      <x:c r="D165" s="26"/>
      <x:c r="E165" s="26"/>
      <x:c r="F165" s="26"/>
      <x:c r="G165" s="26"/>
      <x:c r="H165" s="26"/>
      <x:c r="I165" s="26"/>
      <x:c r="J165" s="26"/>
      <x:c r="K165" s="26"/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</x:row>
    <x:row r="166">
      <x:c r="A166" s="26"/>
      <x:c r="B166" s="26"/>
      <x:c r="C166" s="26"/>
      <x:c r="D166" s="26"/>
      <x:c r="E166" s="26"/>
      <x:c r="F166" s="26"/>
      <x:c r="G166" s="26"/>
      <x:c r="H166" s="26"/>
      <x:c r="I166" s="26"/>
      <x:c r="J166" s="26"/>
      <x:c r="K166" s="26"/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</x:row>
    <x:row r="167">
      <x:c r="A167" s="26"/>
      <x:c r="B167" s="26"/>
      <x:c r="C167" s="26"/>
      <x:c r="D167" s="26"/>
      <x:c r="E167" s="26"/>
      <x:c r="F167" s="26"/>
      <x:c r="G167" s="26"/>
      <x:c r="H167" s="26"/>
      <x:c r="I167" s="26"/>
      <x:c r="J167" s="26"/>
      <x:c r="K167" s="26"/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</x:row>
    <x:row r="168">
      <x:c r="A168" s="26"/>
      <x:c r="B168" s="26"/>
      <x:c r="C168" s="26"/>
      <x:c r="D168" s="26"/>
      <x:c r="E168" s="26"/>
      <x:c r="F168" s="26"/>
      <x:c r="G168" s="26"/>
      <x:c r="H168" s="26"/>
      <x:c r="I168" s="26"/>
      <x:c r="J168" s="26"/>
      <x:c r="K168" s="26"/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</x:row>
    <x:row r="169">
      <x:c r="A169" s="26"/>
      <x:c r="B169" s="26"/>
      <x:c r="C169" s="26"/>
      <x:c r="D169" s="26"/>
      <x:c r="E169" s="26"/>
      <x:c r="F169" s="26"/>
      <x:c r="G169" s="26"/>
      <x:c r="H169" s="26"/>
      <x:c r="I169" s="26"/>
      <x:c r="J169" s="26"/>
      <x:c r="K169" s="26"/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</x:row>
    <x:row r="170">
      <x:c r="A170" s="26"/>
      <x:c r="B170" s="26"/>
      <x:c r="C170" s="26"/>
      <x:c r="D170" s="26"/>
      <x:c r="E170" s="26"/>
      <x:c r="F170" s="26"/>
      <x:c r="G170" s="26"/>
      <x:c r="H170" s="26"/>
      <x:c r="I170" s="26"/>
      <x:c r="J170" s="26"/>
      <x:c r="K170" s="26"/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</x:row>
    <x:row r="171">
      <x:c r="A171" s="26"/>
      <x:c r="B171" s="26"/>
      <x:c r="C171" s="26"/>
      <x:c r="D171" s="26"/>
      <x:c r="E171" s="26"/>
      <x:c r="F171" s="26"/>
      <x:c r="G171" s="26"/>
      <x:c r="H171" s="26"/>
      <x:c r="I171" s="26"/>
      <x:c r="J171" s="26"/>
      <x:c r="K171" s="26"/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</x:row>
    <x:row r="172">
      <x:c r="A172" s="26"/>
      <x:c r="B172" s="26"/>
      <x:c r="C172" s="26"/>
      <x:c r="D172" s="26"/>
      <x:c r="E172" s="26"/>
      <x:c r="F172" s="26"/>
      <x:c r="G172" s="26"/>
      <x:c r="H172" s="26"/>
      <x:c r="I172" s="26"/>
      <x:c r="J172" s="26"/>
      <x:c r="K172" s="26"/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</x:row>
    <x:row r="173">
      <x:c r="A173" s="26"/>
      <x:c r="B173" s="26"/>
      <x:c r="C173" s="26"/>
      <x:c r="D173" s="26"/>
      <x:c r="E173" s="26"/>
      <x:c r="F173" s="26"/>
      <x:c r="G173" s="26"/>
      <x:c r="H173" s="26"/>
      <x:c r="I173" s="26"/>
      <x:c r="J173" s="26"/>
      <x:c r="K173" s="26"/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</x:row>
    <x:row r="174">
      <x:c r="A174" s="26"/>
      <x:c r="B174" s="26"/>
      <x:c r="C174" s="26"/>
      <x:c r="D174" s="26"/>
      <x:c r="E174" s="26"/>
      <x:c r="F174" s="26"/>
      <x:c r="G174" s="26"/>
      <x:c r="H174" s="26"/>
      <x:c r="I174" s="26"/>
      <x:c r="J174" s="26"/>
      <x:c r="K174" s="26"/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</x:row>
    <x:row r="175">
      <x:c r="A175" s="26"/>
      <x:c r="B175" s="26"/>
      <x:c r="C175" s="26"/>
      <x:c r="D175" s="26"/>
      <x:c r="E175" s="26"/>
      <x:c r="F175" s="26"/>
      <x:c r="G175" s="26"/>
      <x:c r="H175" s="26"/>
      <x:c r="I175" s="26"/>
      <x:c r="J175" s="26"/>
      <x:c r="K175" s="26"/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</x:row>
    <x:row r="176">
      <x:c r="A176" s="26"/>
      <x:c r="B176" s="26"/>
      <x:c r="C176" s="26"/>
      <x:c r="D176" s="26"/>
      <x:c r="E176" s="26"/>
      <x:c r="F176" s="26"/>
      <x:c r="G176" s="26"/>
      <x:c r="H176" s="26"/>
      <x:c r="I176" s="26"/>
      <x:c r="J176" s="26"/>
      <x:c r="K176" s="26"/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</x:row>
    <x:row r="177">
      <x:c r="A177" s="26"/>
      <x:c r="B177" s="26"/>
      <x:c r="C177" s="26"/>
      <x:c r="D177" s="26"/>
      <x:c r="E177" s="26"/>
      <x:c r="F177" s="26"/>
      <x:c r="G177" s="26"/>
      <x:c r="H177" s="26"/>
      <x:c r="I177" s="26"/>
      <x:c r="J177" s="26"/>
      <x:c r="K177" s="26"/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</x:row>
    <x:row r="178">
      <x:c r="A178" s="26"/>
      <x:c r="B178" s="26"/>
      <x:c r="C178" s="26"/>
      <x:c r="D178" s="26"/>
      <x:c r="E178" s="26"/>
      <x:c r="F178" s="26"/>
      <x:c r="G178" s="26"/>
      <x:c r="H178" s="26"/>
      <x:c r="I178" s="26"/>
      <x:c r="J178" s="26"/>
      <x:c r="K178" s="26"/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</x:row>
    <x:row r="179">
      <x:c r="A179" s="26"/>
      <x:c r="B179" s="26"/>
      <x:c r="C179" s="26"/>
      <x:c r="D179" s="26"/>
      <x:c r="E179" s="26"/>
      <x:c r="F179" s="26"/>
      <x:c r="G179" s="26"/>
      <x:c r="H179" s="26"/>
      <x:c r="I179" s="26"/>
      <x:c r="J179" s="26"/>
      <x:c r="K179" s="26"/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</x:row>
    <x:row r="180">
      <x:c r="A180" s="26"/>
      <x:c r="B180" s="26"/>
      <x:c r="C180" s="26"/>
      <x:c r="D180" s="26"/>
      <x:c r="E180" s="26"/>
      <x:c r="F180" s="26"/>
      <x:c r="G180" s="26"/>
      <x:c r="H180" s="26"/>
      <x:c r="I180" s="26"/>
      <x:c r="J180" s="26"/>
      <x:c r="K180" s="26"/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</x:row>
    <x:row r="181">
      <x:c r="A181" s="26"/>
      <x:c r="B181" s="26"/>
      <x:c r="C181" s="26"/>
      <x:c r="D181" s="26"/>
      <x:c r="E181" s="26"/>
      <x:c r="F181" s="26"/>
      <x:c r="G181" s="26"/>
      <x:c r="H181" s="26"/>
      <x:c r="I181" s="26"/>
      <x:c r="J181" s="26"/>
      <x:c r="K181" s="26"/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</x:row>
    <x:row r="182">
      <x:c r="A182" s="26"/>
      <x:c r="B182" s="26"/>
      <x:c r="C182" s="26"/>
      <x:c r="D182" s="26"/>
      <x:c r="E182" s="26"/>
      <x:c r="F182" s="26"/>
      <x:c r="G182" s="26"/>
      <x:c r="H182" s="26"/>
      <x:c r="I182" s="26"/>
      <x:c r="J182" s="26"/>
      <x:c r="K182" s="26"/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</x:row>
    <x:row r="183">
      <x:c r="A183" s="26"/>
      <x:c r="B183" s="26"/>
      <x:c r="C183" s="26"/>
      <x:c r="D183" s="26"/>
      <x:c r="E183" s="26"/>
      <x:c r="F183" s="26"/>
      <x:c r="G183" s="26"/>
      <x:c r="H183" s="26"/>
      <x:c r="I183" s="26"/>
      <x:c r="J183" s="26"/>
      <x:c r="K183" s="26"/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</x:row>
    <x:row r="184">
      <x:c r="A184" s="26"/>
      <x:c r="B184" s="26"/>
      <x:c r="C184" s="26"/>
      <x:c r="D184" s="26"/>
      <x:c r="E184" s="26"/>
      <x:c r="F184" s="26"/>
      <x:c r="G184" s="26"/>
      <x:c r="H184" s="26"/>
      <x:c r="I184" s="26"/>
      <x:c r="J184" s="26"/>
      <x:c r="K184" s="26"/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</x:row>
    <x:row r="185">
      <x:c r="A185" s="26"/>
      <x:c r="B185" s="26"/>
      <x:c r="C185" s="26"/>
      <x:c r="D185" s="26"/>
      <x:c r="E185" s="26"/>
      <x:c r="F185" s="26"/>
      <x:c r="G185" s="26"/>
      <x:c r="H185" s="26"/>
      <x:c r="I185" s="26"/>
      <x:c r="J185" s="26"/>
      <x:c r="K185" s="26"/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</x:row>
    <x:row r="186">
      <x:c r="A186" s="26"/>
      <x:c r="B186" s="26"/>
      <x:c r="C186" s="26"/>
      <x:c r="D186" s="26"/>
      <x:c r="E186" s="26"/>
      <x:c r="F186" s="26"/>
      <x:c r="G186" s="26"/>
      <x:c r="H186" s="26"/>
      <x:c r="I186" s="26"/>
      <x:c r="J186" s="26"/>
      <x:c r="K186" s="26"/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</x:row>
    <x:row r="187">
      <x:c r="A187" s="26"/>
      <x:c r="B187" s="26"/>
      <x:c r="C187" s="26"/>
      <x:c r="D187" s="26"/>
      <x:c r="E187" s="26"/>
      <x:c r="F187" s="26"/>
      <x:c r="G187" s="26"/>
      <x:c r="H187" s="26"/>
      <x:c r="I187" s="26"/>
      <x:c r="J187" s="26"/>
      <x:c r="K187" s="26"/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</x:row>
    <x:row r="188">
      <x:c r="A188" s="26"/>
      <x:c r="B188" s="26"/>
      <x:c r="C188" s="26"/>
      <x:c r="D188" s="26"/>
      <x:c r="E188" s="26"/>
      <x:c r="F188" s="26"/>
      <x:c r="G188" s="26"/>
      <x:c r="H188" s="26"/>
      <x:c r="I188" s="26"/>
      <x:c r="J188" s="26"/>
      <x:c r="K188" s="26"/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</x:row>
    <x:row r="189">
      <x:c r="A189" s="26"/>
      <x:c r="B189" s="26"/>
      <x:c r="C189" s="26"/>
      <x:c r="D189" s="26"/>
      <x:c r="E189" s="26"/>
      <x:c r="F189" s="26"/>
      <x:c r="G189" s="26"/>
      <x:c r="H189" s="26"/>
      <x:c r="I189" s="26"/>
      <x:c r="J189" s="26"/>
      <x:c r="K189" s="26"/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</x:row>
    <x:row r="190">
      <x:c r="A190" s="26"/>
      <x:c r="B190" s="26"/>
      <x:c r="C190" s="26"/>
      <x:c r="D190" s="26"/>
      <x:c r="E190" s="26"/>
      <x:c r="F190" s="26"/>
      <x:c r="G190" s="26"/>
      <x:c r="H190" s="26"/>
      <x:c r="I190" s="26"/>
      <x:c r="J190" s="26"/>
      <x:c r="K190" s="26"/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</x:row>
    <x:row r="191">
      <x:c r="A191" s="26"/>
      <x:c r="B191" s="26"/>
      <x:c r="C191" s="26"/>
      <x:c r="D191" s="26"/>
      <x:c r="E191" s="26"/>
      <x:c r="F191" s="26"/>
      <x:c r="G191" s="26"/>
      <x:c r="H191" s="26"/>
      <x:c r="I191" s="26"/>
      <x:c r="J191" s="26"/>
      <x:c r="K191" s="26"/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</x:row>
    <x:row r="192">
      <x:c r="A192" s="26"/>
      <x:c r="B192" s="26"/>
      <x:c r="C192" s="26"/>
      <x:c r="D192" s="26"/>
      <x:c r="E192" s="26"/>
      <x:c r="F192" s="26"/>
      <x:c r="G192" s="26"/>
      <x:c r="H192" s="26"/>
      <x:c r="I192" s="26"/>
      <x:c r="J192" s="26"/>
      <x:c r="K192" s="26"/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</x:row>
    <x:row r="193">
      <x:c r="A193" s="26"/>
      <x:c r="B193" s="26"/>
      <x:c r="C193" s="26"/>
      <x:c r="D193" s="26"/>
      <x:c r="E193" s="26"/>
      <x:c r="F193" s="26"/>
      <x:c r="G193" s="26"/>
      <x:c r="H193" s="26"/>
      <x:c r="I193" s="26"/>
      <x:c r="J193" s="26"/>
      <x:c r="K193" s="26"/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</x:row>
    <x:row r="194">
      <x:c r="A194" s="26"/>
      <x:c r="B194" s="26"/>
      <x:c r="C194" s="26"/>
      <x:c r="D194" s="26"/>
      <x:c r="E194" s="26"/>
      <x:c r="F194" s="26"/>
      <x:c r="G194" s="26"/>
      <x:c r="H194" s="26"/>
      <x:c r="I194" s="26"/>
      <x:c r="J194" s="26"/>
      <x:c r="K194" s="26"/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</x:row>
    <x:row r="195">
      <x:c r="A195" s="26"/>
      <x:c r="B195" s="26"/>
      <x:c r="C195" s="26"/>
      <x:c r="D195" s="26"/>
      <x:c r="E195" s="26"/>
      <x:c r="F195" s="26"/>
      <x:c r="G195" s="26"/>
      <x:c r="H195" s="26"/>
      <x:c r="I195" s="26"/>
      <x:c r="J195" s="26"/>
      <x:c r="K195" s="26"/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</x:row>
    <x:row r="196">
      <x:c r="A196" s="26"/>
      <x:c r="B196" s="26"/>
      <x:c r="C196" s="26"/>
      <x:c r="D196" s="26"/>
      <x:c r="E196" s="26"/>
      <x:c r="F196" s="26"/>
      <x:c r="G196" s="26"/>
      <x:c r="H196" s="26"/>
      <x:c r="I196" s="26"/>
      <x:c r="J196" s="26"/>
      <x:c r="K196" s="26"/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</x:row>
    <x:row r="197">
      <x:c r="A197" s="26"/>
      <x:c r="B197" s="26"/>
      <x:c r="C197" s="26"/>
      <x:c r="D197" s="26"/>
      <x:c r="E197" s="26"/>
      <x:c r="F197" s="26"/>
      <x:c r="G197" s="26"/>
      <x:c r="H197" s="26"/>
      <x:c r="I197" s="26"/>
      <x:c r="J197" s="26"/>
      <x:c r="K197" s="26"/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</x:row>
    <x:row r="198">
      <x:c r="A198" s="26"/>
      <x:c r="B198" s="26"/>
      <x:c r="C198" s="26"/>
      <x:c r="D198" s="26"/>
      <x:c r="E198" s="26"/>
      <x:c r="F198" s="26"/>
      <x:c r="G198" s="26"/>
      <x:c r="H198" s="26"/>
      <x:c r="I198" s="26"/>
      <x:c r="J198" s="26"/>
      <x:c r="K198" s="26"/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</x:row>
    <x:row r="199">
      <x:c r="A199" s="26"/>
      <x:c r="B199" s="26"/>
      <x:c r="C199" s="26"/>
      <x:c r="D199" s="26"/>
      <x:c r="E199" s="26"/>
      <x:c r="F199" s="26"/>
      <x:c r="G199" s="26"/>
      <x:c r="H199" s="26"/>
      <x:c r="I199" s="26"/>
      <x:c r="J199" s="26"/>
      <x:c r="K199" s="26"/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</x:row>
    <x:row r="200">
      <x:c r="A200" s="26"/>
      <x:c r="B200" s="26"/>
      <x:c r="C200" s="26"/>
      <x:c r="D200" s="26"/>
      <x:c r="E200" s="26"/>
      <x:c r="F200" s="26"/>
      <x:c r="G200" s="26"/>
      <x:c r="H200" s="26"/>
      <x:c r="I200" s="26"/>
      <x:c r="J200" s="26"/>
      <x:c r="K200" s="26"/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</x:row>
  </x:sheetData>
  <x:mergeCells>
    <x:mergeCell ref="A1:H1"/>
  </x:mergeCells>
  <x:dataValidations count="1">
    <x:dataValidation type="list" sqref="C4">
      <x:formula1>"Conservative,Base,Aggressive"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3765a184eea455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 ht="28" customHeight="1">
      <x:c r="A1" s="50" t="str">
        <x:v>Funnel Forecast</x:v>
      </x:c>
      <x:c r="B1" s="50"/>
      <x:c r="C1" s="50"/>
      <x:c r="D1" s="50"/>
      <x:c r="E1" s="50"/>
      <x:c r="F1" s="50"/>
      <x:c r="G1" s="50"/>
      <x:c r="H1" s="50"/>
      <x:c r="I1" s="50"/>
      <x:c r="J1" s="50"/>
      <x:c r="K1" s="50"/>
      <x:c r="L1" s="50"/>
      <x:c r="M1" s="50"/>
      <x:c r="N1" s="50"/>
      <x:c r="O1" s="50"/>
      <x:c r="P1" s="26"/>
      <x:c r="Q1" s="26"/>
      <x:c r="R1" s="26"/>
      <x:c r="S1" s="26"/>
      <x:c r="T1" s="26"/>
      <x:c r="U1" s="26"/>
      <x:c r="V1" s="26"/>
      <x:c r="W1" s="26"/>
      <x:c r="X1" s="26"/>
      <x:c r="Y1" s="26"/>
      <x:c r="Z1" s="26"/>
    </x:row>
    <x:row r="2">
      <x:c r="A2" s="26"/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</x:row>
    <x:row r="3">
      <x:c r="A3" s="14" t="str">
        <x:v>Month #</x:v>
      </x:c>
      <x:c r="B3" s="14" t="str">
        <x:v>Month</x:v>
      </x:c>
      <x:c r="C3" s="14" t="str">
        <x:v>Scenario</x:v>
      </x:c>
      <x:c r="D3" s="14" t="str">
        <x:v>Traffic</x:v>
      </x:c>
      <x:c r="E3" s="14" t="str">
        <x:v>Leads</x:v>
      </x:c>
      <x:c r="F3" s="14" t="str">
        <x:v>Registrations</x:v>
      </x:c>
      <x:c r="G3" s="14" t="str">
        <x:v>Activated Users</x:v>
      </x:c>
      <x:c r="H3" s="14" t="str">
        <x:v>New Paid Users</x:v>
      </x:c>
      <x:c r="I3" s="14" t="str">
        <x:v>Visitor→Lead</x:v>
      </x:c>
      <x:c r="J3" s="14" t="str">
        <x:v>Lead→Reg</x:v>
      </x:c>
      <x:c r="K3" s="14" t="str">
        <x:v>Reg→Act</x:v>
      </x:c>
      <x:c r="L3" s="14" t="str">
        <x:v>Act→Paid</x:v>
      </x:c>
      <x:c r="M3" s="14" t="str">
        <x:v>Cum. Paid Created</x:v>
      </x:c>
      <x:c r="N3" s="14" t="str">
        <x:v>Active Paid Users</x:v>
      </x:c>
      <x:c r="O3" s="14" t="str">
        <x:v>Churned Users</x:v>
      </x:c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</x:row>
    <x:row r="4">
      <x:c r="A4" s="26" t="n">
        <x:f>1</x:f>
        <x:v>1</x:v>
      </x:c>
      <x:c r="B4" s="52" t="str">
        <x:f>Assumptions!$C$5</x:f>
        <x:v>2026-06-01</x:v>
      </x:c>
      <x:c r="C4" s="26" t="str">
        <x:f>Assumptions!$C$4</x:f>
        <x:v>Base</x:v>
      </x:c>
      <x:c r="D4" s="53" t="n">
        <x:f>INDEX(Scenarios!$B$4:$D$4,1,MATCH($C4,Scenarios!$B$3:$D$3,0))</x:f>
        <x:v>3000</x:v>
      </x:c>
      <x:c r="E4" s="53" t="n">
        <x:f>D4*I4</x:f>
        <x:v>120</x:v>
      </x:c>
      <x:c r="F4" s="53" t="n">
        <x:f>E4*J4</x:f>
        <x:v>54</x:v>
      </x:c>
      <x:c r="G4" s="53" t="n">
        <x:f>F4*K4</x:f>
        <x:v>29.700000000000003</x:v>
      </x:c>
      <x:c r="H4" s="53" t="n">
        <x:f>G4*L4</x:f>
        <x:v>5.940000000000001</x:v>
      </x:c>
      <x:c r="I4" s="54" t="n">
        <x:f>INDEX(Scenarios!$B$5:$D$5,1,MATCH($C4,Scenarios!$B$3:$D$3,0))</x:f>
        <x:v>0.04</x:v>
      </x:c>
      <x:c r="J4" s="54" t="n">
        <x:f>INDEX(Scenarios!$B$6:$D$6,1,MATCH($C4,Scenarios!$B$3:$D$3,0))</x:f>
        <x:v>0.45</x:v>
      </x:c>
      <x:c r="K4" s="54" t="n">
        <x:f>INDEX(Scenarios!$B$7:$D$7,1,MATCH($C4,Scenarios!$B$3:$D$3,0))</x:f>
        <x:v>0.55</x:v>
      </x:c>
      <x:c r="L4" s="54" t="n">
        <x:f>INDEX(Scenarios!$B$8:$D$8,1,MATCH($C4,Scenarios!$B$3:$D$3,0))</x:f>
        <x:v>0.2</x:v>
      </x:c>
      <x:c r="M4" s="53" t="n">
        <x:f>SUM($H$4:H4)</x:f>
        <x:v>5.940000000000001</x:v>
      </x:c>
      <x:c r="N4" s="53" t="n">
        <x:f>H4</x:f>
        <x:v>5.940000000000001</x:v>
      </x:c>
      <x:c r="O4" s="53" t="n">
        <x:f>N4*INDEX(Scenarios!$B$9:$D$9,1,MATCH($C4,Scenarios!$B$3:$D$3,0))</x:f>
        <x:v>0.2970000000000001</x:v>
      </x:c>
      <x:c r="P4" s="26"/>
      <x:c r="Q4" s="26"/>
      <x:c r="R4" s="26"/>
      <x:c r="S4" s="26"/>
      <x:c r="T4" s="26"/>
      <x:c r="U4" s="26"/>
      <x:c r="V4" s="26"/>
      <x:c r="W4" s="26"/>
      <x:c r="X4" s="26"/>
      <x:c r="Y4" s="26"/>
      <x:c r="Z4" s="26"/>
    </x:row>
    <x:row r="5">
      <x:c r="A5" s="26" t="n">
        <x:f>2</x:f>
        <x:v>2</x:v>
      </x:c>
      <x:c r="B5" s="52" t="n">
        <x:f>EDATE(B4,1)</x:f>
        <x:v>46204</x:v>
      </x:c>
      <x:c r="C5" s="26" t="str">
        <x:f>Assumptions!$C$4</x:f>
        <x:v>Base</x:v>
      </x:c>
      <x:c r="D5" s="53" t="n">
        <x:f>INDEX(Scenarios!$B$4:$D$4,1,MATCH($C4,Scenarios!$B$3:$D$3,0))</x:f>
        <x:v>3000</x:v>
      </x:c>
      <x:c r="E5" s="53" t="n">
        <x:f>D5*I5</x:f>
        <x:v>120</x:v>
      </x:c>
      <x:c r="F5" s="53" t="n">
        <x:f>E5*J5</x:f>
        <x:v>54</x:v>
      </x:c>
      <x:c r="G5" s="53" t="n">
        <x:f>F5*K5</x:f>
        <x:v>29.700000000000003</x:v>
      </x:c>
      <x:c r="H5" s="53" t="n">
        <x:f>G5*L5</x:f>
        <x:v>5.940000000000001</x:v>
      </x:c>
      <x:c r="I5" s="54" t="n">
        <x:f>INDEX(Scenarios!$B$5:$D$5,1,MATCH($C4,Scenarios!$B$3:$D$3,0))</x:f>
        <x:v>0.04</x:v>
      </x:c>
      <x:c r="J5" s="54" t="n">
        <x:f>INDEX(Scenarios!$B$6:$D$6,1,MATCH($C4,Scenarios!$B$3:$D$3,0))</x:f>
        <x:v>0.45</x:v>
      </x:c>
      <x:c r="K5" s="54" t="n">
        <x:f>INDEX(Scenarios!$B$7:$D$7,1,MATCH($C4,Scenarios!$B$3:$D$3,0))</x:f>
        <x:v>0.55</x:v>
      </x:c>
      <x:c r="L5" s="54" t="n">
        <x:f>INDEX(Scenarios!$B$8:$D$8,1,MATCH($C4,Scenarios!$B$3:$D$3,0))</x:f>
        <x:v>0.2</x:v>
      </x:c>
      <x:c r="M5" s="53" t="n">
        <x:f>SUM($H$4:H5)</x:f>
        <x:v>11.880000000000003</x:v>
      </x:c>
      <x:c r="N5" s="53" t="n">
        <x:f>MAX(0,N4+H5-O5)</x:f>
        <x:v>11.880000000000003</x:v>
      </x:c>
      <x:c r="O5" s="53" t="n">
        <x:f>N5*INDEX(Scenarios!$B$9:$D$9,1,MATCH($C5,Scenarios!$B$3:$D$3,0))</x:f>
        <x:v>0</x:v>
      </x:c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>
      <x:c r="A6" s="26" t="n">
        <x:f>3</x:f>
        <x:v>3</x:v>
      </x:c>
      <x:c r="B6" s="52" t="n">
        <x:f>EDATE(B5,1)</x:f>
        <x:v>46235</x:v>
      </x:c>
      <x:c r="C6" s="26" t="str">
        <x:f>Assumptions!$C$4</x:f>
        <x:v>Base</x:v>
      </x:c>
      <x:c r="D6" s="53" t="n">
        <x:f>INDEX(Scenarios!$B$4:$D$4,1,MATCH($C4,Scenarios!$B$3:$D$3,0))</x:f>
        <x:v>3000</x:v>
      </x:c>
      <x:c r="E6" s="53" t="n">
        <x:f>D6*I6</x:f>
        <x:v>120</x:v>
      </x:c>
      <x:c r="F6" s="53" t="n">
        <x:f>E6*J6</x:f>
        <x:v>54</x:v>
      </x:c>
      <x:c r="G6" s="53" t="n">
        <x:f>F6*K6</x:f>
        <x:v>29.700000000000003</x:v>
      </x:c>
      <x:c r="H6" s="53" t="n">
        <x:f>G6*L6</x:f>
        <x:v>5.940000000000001</x:v>
      </x:c>
      <x:c r="I6" s="54" t="n">
        <x:f>INDEX(Scenarios!$B$5:$D$5,1,MATCH($C4,Scenarios!$B$3:$D$3,0))</x:f>
        <x:v>0.04</x:v>
      </x:c>
      <x:c r="J6" s="54" t="n">
        <x:f>INDEX(Scenarios!$B$6:$D$6,1,MATCH($C4,Scenarios!$B$3:$D$3,0))</x:f>
        <x:v>0.45</x:v>
      </x:c>
      <x:c r="K6" s="54" t="n">
        <x:f>INDEX(Scenarios!$B$7:$D$7,1,MATCH($C4,Scenarios!$B$3:$D$3,0))</x:f>
        <x:v>0.55</x:v>
      </x:c>
      <x:c r="L6" s="54" t="n">
        <x:f>INDEX(Scenarios!$B$8:$D$8,1,MATCH($C4,Scenarios!$B$3:$D$3,0))</x:f>
        <x:v>0.2</x:v>
      </x:c>
      <x:c r="M6" s="53" t="n">
        <x:f>SUM($H$4:H6)</x:f>
        <x:v>17.820000000000004</x:v>
      </x:c>
      <x:c r="N6" s="53" t="n">
        <x:f>MAX(0,N5+H6-O6)</x:f>
        <x:v>17.820000000000004</x:v>
      </x:c>
      <x:c r="O6" s="53" t="n">
        <x:f>N6*INDEX(Scenarios!$B$9:$D$9,1,MATCH($C6,Scenarios!$B$3:$D$3,0))</x:f>
        <x:v>0</x:v>
      </x:c>
      <x:c r="P6" s="26"/>
      <x:c r="Q6" s="26"/>
      <x:c r="R6" s="26"/>
      <x:c r="S6" s="26"/>
      <x:c r="T6" s="26"/>
      <x:c r="U6" s="26"/>
      <x:c r="V6" s="26"/>
      <x:c r="W6" s="26"/>
      <x:c r="X6" s="26"/>
      <x:c r="Y6" s="26"/>
      <x:c r="Z6" s="26"/>
    </x:row>
    <x:row r="7">
      <x:c r="A7" s="26" t="n">
        <x:f>4</x:f>
        <x:v>4</x:v>
      </x:c>
      <x:c r="B7" s="52" t="n">
        <x:f>EDATE(B6,1)</x:f>
        <x:v>46266</x:v>
      </x:c>
      <x:c r="C7" s="26" t="str">
        <x:f>Assumptions!$C$4</x:f>
        <x:v>Base</x:v>
      </x:c>
      <x:c r="D7" s="53" t="n">
        <x:f>INDEX(Scenarios!$B$4:$D$4,1,MATCH($C4,Scenarios!$B$3:$D$3,0))</x:f>
        <x:v>3000</x:v>
      </x:c>
      <x:c r="E7" s="53" t="n">
        <x:f>D7*I7</x:f>
        <x:v>120</x:v>
      </x:c>
      <x:c r="F7" s="53" t="n">
        <x:f>E7*J7</x:f>
        <x:v>54</x:v>
      </x:c>
      <x:c r="G7" s="53" t="n">
        <x:f>F7*K7</x:f>
        <x:v>29.700000000000003</x:v>
      </x:c>
      <x:c r="H7" s="53" t="n">
        <x:f>G7*L7</x:f>
        <x:v>5.940000000000001</x:v>
      </x:c>
      <x:c r="I7" s="54" t="n">
        <x:f>INDEX(Scenarios!$B$5:$D$5,1,MATCH($C4,Scenarios!$B$3:$D$3,0))</x:f>
        <x:v>0.04</x:v>
      </x:c>
      <x:c r="J7" s="54" t="n">
        <x:f>INDEX(Scenarios!$B$6:$D$6,1,MATCH($C4,Scenarios!$B$3:$D$3,0))</x:f>
        <x:v>0.45</x:v>
      </x:c>
      <x:c r="K7" s="54" t="n">
        <x:f>INDEX(Scenarios!$B$7:$D$7,1,MATCH($C4,Scenarios!$B$3:$D$3,0))</x:f>
        <x:v>0.55</x:v>
      </x:c>
      <x:c r="L7" s="54" t="n">
        <x:f>INDEX(Scenarios!$B$8:$D$8,1,MATCH($C4,Scenarios!$B$3:$D$3,0))</x:f>
        <x:v>0.2</x:v>
      </x:c>
      <x:c r="M7" s="53" t="n">
        <x:f>SUM($H$4:H7)</x:f>
        <x:v>23.760000000000005</x:v>
      </x:c>
      <x:c r="N7" s="53" t="n">
        <x:f>MAX(0,N6+H7-O7)</x:f>
        <x:v>23.760000000000005</x:v>
      </x:c>
      <x:c r="O7" s="53" t="n">
        <x:f>N7*INDEX(Scenarios!$B$9:$D$9,1,MATCH($C7,Scenarios!$B$3:$D$3,0))</x:f>
        <x:v>0</x:v>
      </x:c>
      <x:c r="P7" s="26"/>
      <x:c r="Q7" s="26"/>
      <x:c r="R7" s="26"/>
      <x:c r="S7" s="26"/>
      <x:c r="T7" s="26"/>
      <x:c r="U7" s="26"/>
      <x:c r="V7" s="26"/>
      <x:c r="W7" s="26"/>
      <x:c r="X7" s="26"/>
      <x:c r="Y7" s="26"/>
      <x:c r="Z7" s="26"/>
    </x:row>
    <x:row r="8">
      <x:c r="A8" s="26" t="n">
        <x:f>5</x:f>
        <x:v>5</x:v>
      </x:c>
      <x:c r="B8" s="52" t="n">
        <x:f>EDATE(B7,1)</x:f>
        <x:v>46296</x:v>
      </x:c>
      <x:c r="C8" s="26" t="str">
        <x:f>Assumptions!$C$4</x:f>
        <x:v>Base</x:v>
      </x:c>
      <x:c r="D8" s="53" t="n">
        <x:f>INDEX(Scenarios!$B$4:$D$4,1,MATCH($C4,Scenarios!$B$3:$D$3,0))</x:f>
        <x:v>3000</x:v>
      </x:c>
      <x:c r="E8" s="53" t="n">
        <x:f>D8*I8</x:f>
        <x:v>120</x:v>
      </x:c>
      <x:c r="F8" s="53" t="n">
        <x:f>E8*J8</x:f>
        <x:v>54</x:v>
      </x:c>
      <x:c r="G8" s="53" t="n">
        <x:f>F8*K8</x:f>
        <x:v>29.700000000000003</x:v>
      </x:c>
      <x:c r="H8" s="53" t="n">
        <x:f>G8*L8</x:f>
        <x:v>5.940000000000001</x:v>
      </x:c>
      <x:c r="I8" s="54" t="n">
        <x:f>INDEX(Scenarios!$B$5:$D$5,1,MATCH($C4,Scenarios!$B$3:$D$3,0))</x:f>
        <x:v>0.04</x:v>
      </x:c>
      <x:c r="J8" s="54" t="n">
        <x:f>INDEX(Scenarios!$B$6:$D$6,1,MATCH($C4,Scenarios!$B$3:$D$3,0))</x:f>
        <x:v>0.45</x:v>
      </x:c>
      <x:c r="K8" s="54" t="n">
        <x:f>INDEX(Scenarios!$B$7:$D$7,1,MATCH($C4,Scenarios!$B$3:$D$3,0))</x:f>
        <x:v>0.55</x:v>
      </x:c>
      <x:c r="L8" s="54" t="n">
        <x:f>INDEX(Scenarios!$B$8:$D$8,1,MATCH($C4,Scenarios!$B$3:$D$3,0))</x:f>
        <x:v>0.2</x:v>
      </x:c>
      <x:c r="M8" s="53" t="n">
        <x:f>SUM($H$4:H8)</x:f>
        <x:v>29.700000000000006</x:v>
      </x:c>
      <x:c r="N8" s="53" t="n">
        <x:f>MAX(0,N7+H8-O8)</x:f>
        <x:v>29.700000000000006</x:v>
      </x:c>
      <x:c r="O8" s="53" t="n">
        <x:f>N8*INDEX(Scenarios!$B$9:$D$9,1,MATCH($C8,Scenarios!$B$3:$D$3,0))</x:f>
        <x:v>0</x:v>
      </x:c>
      <x:c r="P8" s="26"/>
      <x:c r="Q8" s="26"/>
      <x:c r="R8" s="26"/>
      <x:c r="S8" s="26"/>
      <x:c r="T8" s="26"/>
      <x:c r="U8" s="26"/>
      <x:c r="V8" s="26"/>
      <x:c r="W8" s="26"/>
      <x:c r="X8" s="26"/>
      <x:c r="Y8" s="26"/>
      <x:c r="Z8" s="26"/>
    </x:row>
    <x:row r="9">
      <x:c r="A9" s="26" t="n">
        <x:f>6</x:f>
        <x:v>6</x:v>
      </x:c>
      <x:c r="B9" s="52" t="n">
        <x:f>EDATE(B8,1)</x:f>
        <x:v>46327</x:v>
      </x:c>
      <x:c r="C9" s="26" t="str">
        <x:f>Assumptions!$C$4</x:f>
        <x:v>Base</x:v>
      </x:c>
      <x:c r="D9" s="53" t="n">
        <x:f>INDEX(Scenarios!$B$4:$D$4,1,MATCH($C4,Scenarios!$B$3:$D$3,0))</x:f>
        <x:v>3000</x:v>
      </x:c>
      <x:c r="E9" s="53" t="n">
        <x:f>D9*I9</x:f>
        <x:v>120</x:v>
      </x:c>
      <x:c r="F9" s="53" t="n">
        <x:f>E9*J9</x:f>
        <x:v>54</x:v>
      </x:c>
      <x:c r="G9" s="53" t="n">
        <x:f>F9*K9</x:f>
        <x:v>29.700000000000003</x:v>
      </x:c>
      <x:c r="H9" s="53" t="n">
        <x:f>G9*L9</x:f>
        <x:v>5.940000000000001</x:v>
      </x:c>
      <x:c r="I9" s="54" t="n">
        <x:f>INDEX(Scenarios!$B$5:$D$5,1,MATCH($C4,Scenarios!$B$3:$D$3,0))</x:f>
        <x:v>0.04</x:v>
      </x:c>
      <x:c r="J9" s="54" t="n">
        <x:f>INDEX(Scenarios!$B$6:$D$6,1,MATCH($C4,Scenarios!$B$3:$D$3,0))</x:f>
        <x:v>0.45</x:v>
      </x:c>
      <x:c r="K9" s="54" t="n">
        <x:f>INDEX(Scenarios!$B$7:$D$7,1,MATCH($C4,Scenarios!$B$3:$D$3,0))</x:f>
        <x:v>0.55</x:v>
      </x:c>
      <x:c r="L9" s="54" t="n">
        <x:f>INDEX(Scenarios!$B$8:$D$8,1,MATCH($C4,Scenarios!$B$3:$D$3,0))</x:f>
        <x:v>0.2</x:v>
      </x:c>
      <x:c r="M9" s="53" t="n">
        <x:f>SUM($H$4:H9)</x:f>
        <x:v>35.64000000000001</x:v>
      </x:c>
      <x:c r="N9" s="53" t="n">
        <x:f>MAX(0,N8+H9-O9)</x:f>
        <x:v>35.64000000000001</x:v>
      </x:c>
      <x:c r="O9" s="53" t="n">
        <x:f>N9*INDEX(Scenarios!$B$9:$D$9,1,MATCH($C9,Scenarios!$B$3:$D$3,0))</x:f>
        <x:v>0</x:v>
      </x:c>
      <x:c r="P9" s="26"/>
      <x:c r="Q9" s="26"/>
      <x:c r="R9" s="26"/>
      <x:c r="S9" s="26"/>
      <x:c r="T9" s="26"/>
      <x:c r="U9" s="26"/>
      <x:c r="V9" s="26"/>
      <x:c r="W9" s="26"/>
      <x:c r="X9" s="26"/>
      <x:c r="Y9" s="26"/>
      <x:c r="Z9" s="26"/>
    </x:row>
    <x:row r="10">
      <x:c r="A10" s="26" t="n">
        <x:f>7</x:f>
        <x:v>7</x:v>
      </x:c>
      <x:c r="B10" s="52" t="n">
        <x:f>EDATE(B9,1)</x:f>
        <x:v>46357</x:v>
      </x:c>
      <x:c r="C10" s="26" t="str">
        <x:f>Assumptions!$C$4</x:f>
        <x:v>Base</x:v>
      </x:c>
      <x:c r="D10" s="53" t="n">
        <x:f>INDEX(Scenarios!$B$4:$D$4,1,MATCH($C4,Scenarios!$B$3:$D$3,0))</x:f>
        <x:v>3000</x:v>
      </x:c>
      <x:c r="E10" s="53" t="n">
        <x:f>D10*I10</x:f>
        <x:v>120</x:v>
      </x:c>
      <x:c r="F10" s="53" t="n">
        <x:f>E10*J10</x:f>
        <x:v>54</x:v>
      </x:c>
      <x:c r="G10" s="53" t="n">
        <x:f>F10*K10</x:f>
        <x:v>29.700000000000003</x:v>
      </x:c>
      <x:c r="H10" s="53" t="n">
        <x:f>G10*L10</x:f>
        <x:v>5.940000000000001</x:v>
      </x:c>
      <x:c r="I10" s="54" t="n">
        <x:f>INDEX(Scenarios!$B$5:$D$5,1,MATCH($C4,Scenarios!$B$3:$D$3,0))</x:f>
        <x:v>0.04</x:v>
      </x:c>
      <x:c r="J10" s="54" t="n">
        <x:f>INDEX(Scenarios!$B$6:$D$6,1,MATCH($C4,Scenarios!$B$3:$D$3,0))</x:f>
        <x:v>0.45</x:v>
      </x:c>
      <x:c r="K10" s="54" t="n">
        <x:f>INDEX(Scenarios!$B$7:$D$7,1,MATCH($C4,Scenarios!$B$3:$D$3,0))</x:f>
        <x:v>0.55</x:v>
      </x:c>
      <x:c r="L10" s="54" t="n">
        <x:f>INDEX(Scenarios!$B$8:$D$8,1,MATCH($C4,Scenarios!$B$3:$D$3,0))</x:f>
        <x:v>0.2</x:v>
      </x:c>
      <x:c r="M10" s="53" t="n">
        <x:f>SUM($H$4:H10)</x:f>
        <x:v>41.58000000000001</x:v>
      </x:c>
      <x:c r="N10" s="53" t="n">
        <x:f>MAX(0,N9+H10-O10)</x:f>
        <x:v>41.58000000000001</x:v>
      </x:c>
      <x:c r="O10" s="53" t="n">
        <x:f>N10*INDEX(Scenarios!$B$9:$D$9,1,MATCH($C10,Scenarios!$B$3:$D$3,0))</x:f>
        <x:v>0</x:v>
      </x:c>
      <x:c r="P10" s="26"/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</x:row>
    <x:row r="11">
      <x:c r="A11" s="26" t="n">
        <x:f>8</x:f>
        <x:v>8</x:v>
      </x:c>
      <x:c r="B11" s="52" t="n">
        <x:f>EDATE(B10,1)</x:f>
        <x:v>46388</x:v>
      </x:c>
      <x:c r="C11" s="26" t="str">
        <x:f>Assumptions!$C$4</x:f>
        <x:v>Base</x:v>
      </x:c>
      <x:c r="D11" s="53" t="n">
        <x:f>INDEX(Scenarios!$B$4:$D$4,1,MATCH($C4,Scenarios!$B$3:$D$3,0))</x:f>
        <x:v>3000</x:v>
      </x:c>
      <x:c r="E11" s="53" t="n">
        <x:f>D11*I11</x:f>
        <x:v>120</x:v>
      </x:c>
      <x:c r="F11" s="53" t="n">
        <x:f>E11*J11</x:f>
        <x:v>54</x:v>
      </x:c>
      <x:c r="G11" s="53" t="n">
        <x:f>F11*K11</x:f>
        <x:v>29.700000000000003</x:v>
      </x:c>
      <x:c r="H11" s="53" t="n">
        <x:f>G11*L11</x:f>
        <x:v>5.940000000000001</x:v>
      </x:c>
      <x:c r="I11" s="54" t="n">
        <x:f>INDEX(Scenarios!$B$5:$D$5,1,MATCH($C4,Scenarios!$B$3:$D$3,0))</x:f>
        <x:v>0.04</x:v>
      </x:c>
      <x:c r="J11" s="54" t="n">
        <x:f>INDEX(Scenarios!$B$6:$D$6,1,MATCH($C4,Scenarios!$B$3:$D$3,0))</x:f>
        <x:v>0.45</x:v>
      </x:c>
      <x:c r="K11" s="54" t="n">
        <x:f>INDEX(Scenarios!$B$7:$D$7,1,MATCH($C4,Scenarios!$B$3:$D$3,0))</x:f>
        <x:v>0.55</x:v>
      </x:c>
      <x:c r="L11" s="54" t="n">
        <x:f>INDEX(Scenarios!$B$8:$D$8,1,MATCH($C4,Scenarios!$B$3:$D$3,0))</x:f>
        <x:v>0.2</x:v>
      </x:c>
      <x:c r="M11" s="53" t="n">
        <x:f>SUM($H$4:H11)</x:f>
        <x:v>47.52000000000001</x:v>
      </x:c>
      <x:c r="N11" s="53" t="n">
        <x:f>MAX(0,N10+H11-O11)</x:f>
        <x:v>47.52000000000001</x:v>
      </x:c>
      <x:c r="O11" s="53" t="n">
        <x:f>N11*INDEX(Scenarios!$B$9:$D$9,1,MATCH($C11,Scenarios!$B$3:$D$3,0))</x:f>
        <x:v>0</x:v>
      </x:c>
      <x:c r="P11" s="26"/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</x:row>
    <x:row r="12">
      <x:c r="A12" s="26" t="n">
        <x:f>9</x:f>
        <x:v>9</x:v>
      </x:c>
      <x:c r="B12" s="52" t="n">
        <x:f>EDATE(B11,1)</x:f>
        <x:v>46419</x:v>
      </x:c>
      <x:c r="C12" s="26" t="str">
        <x:f>Assumptions!$C$4</x:f>
        <x:v>Base</x:v>
      </x:c>
      <x:c r="D12" s="53" t="n">
        <x:f>INDEX(Scenarios!$B$4:$D$4,1,MATCH($C4,Scenarios!$B$3:$D$3,0))</x:f>
        <x:v>3000</x:v>
      </x:c>
      <x:c r="E12" s="53" t="n">
        <x:f>D12*I12</x:f>
        <x:v>120</x:v>
      </x:c>
      <x:c r="F12" s="53" t="n">
        <x:f>E12*J12</x:f>
        <x:v>54</x:v>
      </x:c>
      <x:c r="G12" s="53" t="n">
        <x:f>F12*K12</x:f>
        <x:v>29.700000000000003</x:v>
      </x:c>
      <x:c r="H12" s="53" t="n">
        <x:f>G12*L12</x:f>
        <x:v>5.940000000000001</x:v>
      </x:c>
      <x:c r="I12" s="54" t="n">
        <x:f>INDEX(Scenarios!$B$5:$D$5,1,MATCH($C4,Scenarios!$B$3:$D$3,0))</x:f>
        <x:v>0.04</x:v>
      </x:c>
      <x:c r="J12" s="54" t="n">
        <x:f>INDEX(Scenarios!$B$6:$D$6,1,MATCH($C4,Scenarios!$B$3:$D$3,0))</x:f>
        <x:v>0.45</x:v>
      </x:c>
      <x:c r="K12" s="54" t="n">
        <x:f>INDEX(Scenarios!$B$7:$D$7,1,MATCH($C4,Scenarios!$B$3:$D$3,0))</x:f>
        <x:v>0.55</x:v>
      </x:c>
      <x:c r="L12" s="54" t="n">
        <x:f>INDEX(Scenarios!$B$8:$D$8,1,MATCH($C4,Scenarios!$B$3:$D$3,0))</x:f>
        <x:v>0.2</x:v>
      </x:c>
      <x:c r="M12" s="53" t="n">
        <x:f>SUM($H$4:H12)</x:f>
        <x:v>53.46000000000001</x:v>
      </x:c>
      <x:c r="N12" s="53" t="n">
        <x:f>MAX(0,N11+H12-O12)</x:f>
        <x:v>53.46000000000001</x:v>
      </x:c>
      <x:c r="O12" s="53" t="n">
        <x:f>N12*INDEX(Scenarios!$B$9:$D$9,1,MATCH($C12,Scenarios!$B$3:$D$3,0))</x:f>
        <x:v>0</x:v>
      </x:c>
      <x:c r="P12" s="26"/>
      <x:c r="Q12" s="26"/>
      <x:c r="R12" s="26"/>
      <x:c r="S12" s="26"/>
      <x:c r="T12" s="26"/>
      <x:c r="U12" s="26"/>
      <x:c r="V12" s="26"/>
      <x:c r="W12" s="26"/>
      <x:c r="X12" s="26"/>
      <x:c r="Y12" s="26"/>
      <x:c r="Z12" s="26"/>
    </x:row>
    <x:row r="13">
      <x:c r="A13" s="26" t="n">
        <x:f>10</x:f>
        <x:v>10</x:v>
      </x:c>
      <x:c r="B13" s="52" t="n">
        <x:f>EDATE(B12,1)</x:f>
        <x:v>46447</x:v>
      </x:c>
      <x:c r="C13" s="26" t="str">
        <x:f>Assumptions!$C$4</x:f>
        <x:v>Base</x:v>
      </x:c>
      <x:c r="D13" s="53" t="n">
        <x:f>INDEX(Scenarios!$B$4:$D$4,1,MATCH($C4,Scenarios!$B$3:$D$3,0))</x:f>
        <x:v>3000</x:v>
      </x:c>
      <x:c r="E13" s="53" t="n">
        <x:f>D13*I13</x:f>
        <x:v>120</x:v>
      </x:c>
      <x:c r="F13" s="53" t="n">
        <x:f>E13*J13</x:f>
        <x:v>54</x:v>
      </x:c>
      <x:c r="G13" s="53" t="n">
        <x:f>F13*K13</x:f>
        <x:v>29.700000000000003</x:v>
      </x:c>
      <x:c r="H13" s="53" t="n">
        <x:f>G13*L13</x:f>
        <x:v>5.940000000000001</x:v>
      </x:c>
      <x:c r="I13" s="54" t="n">
        <x:f>INDEX(Scenarios!$B$5:$D$5,1,MATCH($C4,Scenarios!$B$3:$D$3,0))</x:f>
        <x:v>0.04</x:v>
      </x:c>
      <x:c r="J13" s="54" t="n">
        <x:f>INDEX(Scenarios!$B$6:$D$6,1,MATCH($C4,Scenarios!$B$3:$D$3,0))</x:f>
        <x:v>0.45</x:v>
      </x:c>
      <x:c r="K13" s="54" t="n">
        <x:f>INDEX(Scenarios!$B$7:$D$7,1,MATCH($C4,Scenarios!$B$3:$D$3,0))</x:f>
        <x:v>0.55</x:v>
      </x:c>
      <x:c r="L13" s="54" t="n">
        <x:f>INDEX(Scenarios!$B$8:$D$8,1,MATCH($C4,Scenarios!$B$3:$D$3,0))</x:f>
        <x:v>0.2</x:v>
      </x:c>
      <x:c r="M13" s="53" t="n">
        <x:f>SUM($H$4:H13)</x:f>
        <x:v>59.400000000000006</x:v>
      </x:c>
      <x:c r="N13" s="53" t="n">
        <x:f>MAX(0,N12+H13-O13)</x:f>
        <x:v>59.400000000000006</x:v>
      </x:c>
      <x:c r="O13" s="53" t="n">
        <x:f>N13*INDEX(Scenarios!$B$9:$D$9,1,MATCH($C13,Scenarios!$B$3:$D$3,0))</x:f>
        <x:v>0</x:v>
      </x:c>
      <x:c r="P13" s="26"/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</x:row>
    <x:row r="14">
      <x:c r="A14" s="26" t="n">
        <x:f>11</x:f>
        <x:v>11</x:v>
      </x:c>
      <x:c r="B14" s="52" t="n">
        <x:f>EDATE(B13,1)</x:f>
        <x:v>46478</x:v>
      </x:c>
      <x:c r="C14" s="26" t="str">
        <x:f>Assumptions!$C$4</x:f>
        <x:v>Base</x:v>
      </x:c>
      <x:c r="D14" s="53" t="n">
        <x:f>INDEX(Scenarios!$B$4:$D$4,1,MATCH($C4,Scenarios!$B$3:$D$3,0))</x:f>
        <x:v>3000</x:v>
      </x:c>
      <x:c r="E14" s="53" t="n">
        <x:f>D14*I14</x:f>
        <x:v>120</x:v>
      </x:c>
      <x:c r="F14" s="53" t="n">
        <x:f>E14*J14</x:f>
        <x:v>54</x:v>
      </x:c>
      <x:c r="G14" s="53" t="n">
        <x:f>F14*K14</x:f>
        <x:v>29.700000000000003</x:v>
      </x:c>
      <x:c r="H14" s="53" t="n">
        <x:f>G14*L14</x:f>
        <x:v>5.940000000000001</x:v>
      </x:c>
      <x:c r="I14" s="54" t="n">
        <x:f>INDEX(Scenarios!$B$5:$D$5,1,MATCH($C4,Scenarios!$B$3:$D$3,0))</x:f>
        <x:v>0.04</x:v>
      </x:c>
      <x:c r="J14" s="54" t="n">
        <x:f>INDEX(Scenarios!$B$6:$D$6,1,MATCH($C4,Scenarios!$B$3:$D$3,0))</x:f>
        <x:v>0.45</x:v>
      </x:c>
      <x:c r="K14" s="54" t="n">
        <x:f>INDEX(Scenarios!$B$7:$D$7,1,MATCH($C4,Scenarios!$B$3:$D$3,0))</x:f>
        <x:v>0.55</x:v>
      </x:c>
      <x:c r="L14" s="54" t="n">
        <x:f>INDEX(Scenarios!$B$8:$D$8,1,MATCH($C4,Scenarios!$B$3:$D$3,0))</x:f>
        <x:v>0.2</x:v>
      </x:c>
      <x:c r="M14" s="53" t="n">
        <x:f>SUM($H$4:H14)</x:f>
        <x:v>65.34</x:v>
      </x:c>
      <x:c r="N14" s="53" t="n">
        <x:f>MAX(0,N13+H14-O14)</x:f>
        <x:v>65.34</x:v>
      </x:c>
      <x:c r="O14" s="53" t="n">
        <x:f>N14*INDEX(Scenarios!$B$9:$D$9,1,MATCH($C14,Scenarios!$B$3:$D$3,0))</x:f>
        <x:v>0</x:v>
      </x:c>
      <x:c r="P14" s="26"/>
      <x:c r="Q14" s="26"/>
      <x:c r="R14" s="26"/>
      <x:c r="S14" s="26"/>
      <x:c r="T14" s="26"/>
      <x:c r="U14" s="26"/>
      <x:c r="V14" s="26"/>
      <x:c r="W14" s="26"/>
      <x:c r="X14" s="26"/>
      <x:c r="Y14" s="26"/>
      <x:c r="Z14" s="26"/>
    </x:row>
    <x:row r="15">
      <x:c r="A15" s="26" t="n">
        <x:f>12</x:f>
        <x:v>12</x:v>
      </x:c>
      <x:c r="B15" s="52" t="n">
        <x:f>EDATE(B14,1)</x:f>
        <x:v>46508</x:v>
      </x:c>
      <x:c r="C15" s="26" t="str">
        <x:f>Assumptions!$C$4</x:f>
        <x:v>Base</x:v>
      </x:c>
      <x:c r="D15" s="53" t="n">
        <x:f>INDEX(Scenarios!$B$4:$D$4,1,MATCH($C4,Scenarios!$B$3:$D$3,0))</x:f>
        <x:v>3000</x:v>
      </x:c>
      <x:c r="E15" s="53" t="n">
        <x:f>D15*I15</x:f>
        <x:v>120</x:v>
      </x:c>
      <x:c r="F15" s="53" t="n">
        <x:f>E15*J15</x:f>
        <x:v>54</x:v>
      </x:c>
      <x:c r="G15" s="53" t="n">
        <x:f>F15*K15</x:f>
        <x:v>29.700000000000003</x:v>
      </x:c>
      <x:c r="H15" s="53" t="n">
        <x:f>G15*L15</x:f>
        <x:v>5.940000000000001</x:v>
      </x:c>
      <x:c r="I15" s="54" t="n">
        <x:f>INDEX(Scenarios!$B$5:$D$5,1,MATCH($C4,Scenarios!$B$3:$D$3,0))</x:f>
        <x:v>0.04</x:v>
      </x:c>
      <x:c r="J15" s="54" t="n">
        <x:f>INDEX(Scenarios!$B$6:$D$6,1,MATCH($C4,Scenarios!$B$3:$D$3,0))</x:f>
        <x:v>0.45</x:v>
      </x:c>
      <x:c r="K15" s="54" t="n">
        <x:f>INDEX(Scenarios!$B$7:$D$7,1,MATCH($C4,Scenarios!$B$3:$D$3,0))</x:f>
        <x:v>0.55</x:v>
      </x:c>
      <x:c r="L15" s="54" t="n">
        <x:f>INDEX(Scenarios!$B$8:$D$8,1,MATCH($C4,Scenarios!$B$3:$D$3,0))</x:f>
        <x:v>0.2</x:v>
      </x:c>
      <x:c r="M15" s="53" t="n">
        <x:f>SUM($H$4:H15)</x:f>
        <x:v>71.28</x:v>
      </x:c>
      <x:c r="N15" s="53" t="n">
        <x:f>MAX(0,N14+H15-O15)</x:f>
        <x:v>71.28</x:v>
      </x:c>
      <x:c r="O15" s="53" t="n">
        <x:f>N15*INDEX(Scenarios!$B$9:$D$9,1,MATCH($C15,Scenarios!$B$3:$D$3,0))</x:f>
        <x:v>0</x:v>
      </x:c>
      <x:c r="P15" s="26"/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</x:row>
    <x:row r="16">
      <x:c r="A16" s="26" t="n">
        <x:f>13</x:f>
        <x:v>13</x:v>
      </x:c>
      <x:c r="B16" s="52" t="n">
        <x:f>EDATE(B15,1)</x:f>
        <x:v>46539</x:v>
      </x:c>
      <x:c r="C16" s="26" t="str">
        <x:f>Assumptions!$C$4</x:f>
        <x:v>Base</x:v>
      </x:c>
      <x:c r="D16" s="53" t="n">
        <x:f>INDEX(Scenarios!$B$4:$D$4,1,MATCH($C4,Scenarios!$B$3:$D$3,0))</x:f>
        <x:v>3000</x:v>
      </x:c>
      <x:c r="E16" s="53" t="n">
        <x:f>D16*I16</x:f>
        <x:v>120</x:v>
      </x:c>
      <x:c r="F16" s="53" t="n">
        <x:f>E16*J16</x:f>
        <x:v>54</x:v>
      </x:c>
      <x:c r="G16" s="53" t="n">
        <x:f>F16*K16</x:f>
        <x:v>29.700000000000003</x:v>
      </x:c>
      <x:c r="H16" s="53" t="n">
        <x:f>G16*L16</x:f>
        <x:v>5.940000000000001</x:v>
      </x:c>
      <x:c r="I16" s="54" t="n">
        <x:f>INDEX(Scenarios!$B$5:$D$5,1,MATCH($C4,Scenarios!$B$3:$D$3,0))</x:f>
        <x:v>0.04</x:v>
      </x:c>
      <x:c r="J16" s="54" t="n">
        <x:f>INDEX(Scenarios!$B$6:$D$6,1,MATCH($C4,Scenarios!$B$3:$D$3,0))</x:f>
        <x:v>0.45</x:v>
      </x:c>
      <x:c r="K16" s="54" t="n">
        <x:f>INDEX(Scenarios!$B$7:$D$7,1,MATCH($C4,Scenarios!$B$3:$D$3,0))</x:f>
        <x:v>0.55</x:v>
      </x:c>
      <x:c r="L16" s="54" t="n">
        <x:f>INDEX(Scenarios!$B$8:$D$8,1,MATCH($C4,Scenarios!$B$3:$D$3,0))</x:f>
        <x:v>0.2</x:v>
      </x:c>
      <x:c r="M16" s="53" t="n">
        <x:f>SUM($H$4:H16)</x:f>
        <x:v>77.22</x:v>
      </x:c>
      <x:c r="N16" s="53" t="n">
        <x:f>MAX(0,N15+H16-O16)</x:f>
        <x:v>77.22</x:v>
      </x:c>
      <x:c r="O16" s="53" t="n">
        <x:f>N16*INDEX(Scenarios!$B$9:$D$9,1,MATCH($C16,Scenarios!$B$3:$D$3,0))</x:f>
        <x:v>0</x:v>
      </x:c>
      <x:c r="P16" s="26"/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</x:row>
    <x:row r="17">
      <x:c r="A17" s="26" t="n">
        <x:f>14</x:f>
        <x:v>14</x:v>
      </x:c>
      <x:c r="B17" s="52" t="n">
        <x:f>EDATE(B16,1)</x:f>
        <x:v>46569</x:v>
      </x:c>
      <x:c r="C17" s="26" t="str">
        <x:f>Assumptions!$C$4</x:f>
        <x:v>Base</x:v>
      </x:c>
      <x:c r="D17" s="53" t="n">
        <x:f>INDEX(Scenarios!$B$4:$D$4,1,MATCH($C4,Scenarios!$B$3:$D$3,0))</x:f>
        <x:v>3000</x:v>
      </x:c>
      <x:c r="E17" s="53" t="n">
        <x:f>D17*I17</x:f>
        <x:v>120</x:v>
      </x:c>
      <x:c r="F17" s="53" t="n">
        <x:f>E17*J17</x:f>
        <x:v>54</x:v>
      </x:c>
      <x:c r="G17" s="53" t="n">
        <x:f>F17*K17</x:f>
        <x:v>29.700000000000003</x:v>
      </x:c>
      <x:c r="H17" s="53" t="n">
        <x:f>G17*L17</x:f>
        <x:v>5.940000000000001</x:v>
      </x:c>
      <x:c r="I17" s="54" t="n">
        <x:f>INDEX(Scenarios!$B$5:$D$5,1,MATCH($C4,Scenarios!$B$3:$D$3,0))</x:f>
        <x:v>0.04</x:v>
      </x:c>
      <x:c r="J17" s="54" t="n">
        <x:f>INDEX(Scenarios!$B$6:$D$6,1,MATCH($C4,Scenarios!$B$3:$D$3,0))</x:f>
        <x:v>0.45</x:v>
      </x:c>
      <x:c r="K17" s="54" t="n">
        <x:f>INDEX(Scenarios!$B$7:$D$7,1,MATCH($C4,Scenarios!$B$3:$D$3,0))</x:f>
        <x:v>0.55</x:v>
      </x:c>
      <x:c r="L17" s="54" t="n">
        <x:f>INDEX(Scenarios!$B$8:$D$8,1,MATCH($C4,Scenarios!$B$3:$D$3,0))</x:f>
        <x:v>0.2</x:v>
      </x:c>
      <x:c r="M17" s="53" t="n">
        <x:f>SUM($H$4:H17)</x:f>
        <x:v>83.16</x:v>
      </x:c>
      <x:c r="N17" s="53" t="n">
        <x:f>MAX(0,N16+H17-O17)</x:f>
        <x:v>83.16</x:v>
      </x:c>
      <x:c r="O17" s="53" t="n">
        <x:f>N17*INDEX(Scenarios!$B$9:$D$9,1,MATCH($C17,Scenarios!$B$3:$D$3,0))</x:f>
        <x:v>0</x:v>
      </x:c>
      <x:c r="P17" s="26"/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</x:row>
    <x:row r="18">
      <x:c r="A18" s="26" t="n">
        <x:f>15</x:f>
        <x:v>15</x:v>
      </x:c>
      <x:c r="B18" s="52" t="n">
        <x:f>EDATE(B17,1)</x:f>
        <x:v>46600</x:v>
      </x:c>
      <x:c r="C18" s="26" t="str">
        <x:f>Assumptions!$C$4</x:f>
        <x:v>Base</x:v>
      </x:c>
      <x:c r="D18" s="53" t="n">
        <x:f>INDEX(Scenarios!$B$4:$D$4,1,MATCH($C4,Scenarios!$B$3:$D$3,0))</x:f>
        <x:v>3000</x:v>
      </x:c>
      <x:c r="E18" s="53" t="n">
        <x:f>D18*I18</x:f>
        <x:v>120</x:v>
      </x:c>
      <x:c r="F18" s="53" t="n">
        <x:f>E18*J18</x:f>
        <x:v>54</x:v>
      </x:c>
      <x:c r="G18" s="53" t="n">
        <x:f>F18*K18</x:f>
        <x:v>29.700000000000003</x:v>
      </x:c>
      <x:c r="H18" s="53" t="n">
        <x:f>G18*L18</x:f>
        <x:v>5.940000000000001</x:v>
      </x:c>
      <x:c r="I18" s="54" t="n">
        <x:f>INDEX(Scenarios!$B$5:$D$5,1,MATCH($C4,Scenarios!$B$3:$D$3,0))</x:f>
        <x:v>0.04</x:v>
      </x:c>
      <x:c r="J18" s="54" t="n">
        <x:f>INDEX(Scenarios!$B$6:$D$6,1,MATCH($C4,Scenarios!$B$3:$D$3,0))</x:f>
        <x:v>0.45</x:v>
      </x:c>
      <x:c r="K18" s="54" t="n">
        <x:f>INDEX(Scenarios!$B$7:$D$7,1,MATCH($C4,Scenarios!$B$3:$D$3,0))</x:f>
        <x:v>0.55</x:v>
      </x:c>
      <x:c r="L18" s="54" t="n">
        <x:f>INDEX(Scenarios!$B$8:$D$8,1,MATCH($C4,Scenarios!$B$3:$D$3,0))</x:f>
        <x:v>0.2</x:v>
      </x:c>
      <x:c r="M18" s="53" t="n">
        <x:f>SUM($H$4:H18)</x:f>
        <x:v>89.1</x:v>
      </x:c>
      <x:c r="N18" s="53" t="n">
        <x:f>MAX(0,N17+H18-O18)</x:f>
        <x:v>89.1</x:v>
      </x:c>
      <x:c r="O18" s="53" t="n">
        <x:f>N18*INDEX(Scenarios!$B$9:$D$9,1,MATCH($C18,Scenarios!$B$3:$D$3,0))</x:f>
        <x:v>0</x:v>
      </x:c>
      <x:c r="P18" s="26"/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</x:row>
    <x:row r="19">
      <x:c r="A19" s="26" t="n">
        <x:f>16</x:f>
        <x:v>16</x:v>
      </x:c>
      <x:c r="B19" s="52" t="n">
        <x:f>EDATE(B18,1)</x:f>
        <x:v>46631</x:v>
      </x:c>
      <x:c r="C19" s="26" t="str">
        <x:f>Assumptions!$C$4</x:f>
        <x:v>Base</x:v>
      </x:c>
      <x:c r="D19" s="53" t="n">
        <x:f>INDEX(Scenarios!$B$4:$D$4,1,MATCH($C4,Scenarios!$B$3:$D$3,0))</x:f>
        <x:v>3000</x:v>
      </x:c>
      <x:c r="E19" s="53" t="n">
        <x:f>D19*I19</x:f>
        <x:v>120</x:v>
      </x:c>
      <x:c r="F19" s="53" t="n">
        <x:f>E19*J19</x:f>
        <x:v>54</x:v>
      </x:c>
      <x:c r="G19" s="53" t="n">
        <x:f>F19*K19</x:f>
        <x:v>29.700000000000003</x:v>
      </x:c>
      <x:c r="H19" s="53" t="n">
        <x:f>G19*L19</x:f>
        <x:v>5.940000000000001</x:v>
      </x:c>
      <x:c r="I19" s="54" t="n">
        <x:f>INDEX(Scenarios!$B$5:$D$5,1,MATCH($C4,Scenarios!$B$3:$D$3,0))</x:f>
        <x:v>0.04</x:v>
      </x:c>
      <x:c r="J19" s="54" t="n">
        <x:f>INDEX(Scenarios!$B$6:$D$6,1,MATCH($C4,Scenarios!$B$3:$D$3,0))</x:f>
        <x:v>0.45</x:v>
      </x:c>
      <x:c r="K19" s="54" t="n">
        <x:f>INDEX(Scenarios!$B$7:$D$7,1,MATCH($C4,Scenarios!$B$3:$D$3,0))</x:f>
        <x:v>0.55</x:v>
      </x:c>
      <x:c r="L19" s="54" t="n">
        <x:f>INDEX(Scenarios!$B$8:$D$8,1,MATCH($C4,Scenarios!$B$3:$D$3,0))</x:f>
        <x:v>0.2</x:v>
      </x:c>
      <x:c r="M19" s="53" t="n">
        <x:f>SUM($H$4:H19)</x:f>
        <x:v>95.03999999999999</x:v>
      </x:c>
      <x:c r="N19" s="53" t="n">
        <x:f>MAX(0,N18+H19-O19)</x:f>
        <x:v>95.03999999999999</x:v>
      </x:c>
      <x:c r="O19" s="53" t="n">
        <x:f>N19*INDEX(Scenarios!$B$9:$D$9,1,MATCH($C19,Scenarios!$B$3:$D$3,0))</x:f>
        <x:v>0</x:v>
      </x:c>
      <x:c r="P19" s="26"/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>
      <x:c r="A20" s="26" t="n">
        <x:f>17</x:f>
        <x:v>17</x:v>
      </x:c>
      <x:c r="B20" s="52" t="n">
        <x:f>EDATE(B19,1)</x:f>
        <x:v>46661</x:v>
      </x:c>
      <x:c r="C20" s="26" t="str">
        <x:f>Assumptions!$C$4</x:f>
        <x:v>Base</x:v>
      </x:c>
      <x:c r="D20" s="53" t="n">
        <x:f>INDEX(Scenarios!$B$4:$D$4,1,MATCH($C4,Scenarios!$B$3:$D$3,0))</x:f>
        <x:v>3000</x:v>
      </x:c>
      <x:c r="E20" s="53" t="n">
        <x:f>D20*I20</x:f>
        <x:v>120</x:v>
      </x:c>
      <x:c r="F20" s="53" t="n">
        <x:f>E20*J20</x:f>
        <x:v>54</x:v>
      </x:c>
      <x:c r="G20" s="53" t="n">
        <x:f>F20*K20</x:f>
        <x:v>29.700000000000003</x:v>
      </x:c>
      <x:c r="H20" s="53" t="n">
        <x:f>G20*L20</x:f>
        <x:v>5.940000000000001</x:v>
      </x:c>
      <x:c r="I20" s="54" t="n">
        <x:f>INDEX(Scenarios!$B$5:$D$5,1,MATCH($C4,Scenarios!$B$3:$D$3,0))</x:f>
        <x:v>0.04</x:v>
      </x:c>
      <x:c r="J20" s="54" t="n">
        <x:f>INDEX(Scenarios!$B$6:$D$6,1,MATCH($C4,Scenarios!$B$3:$D$3,0))</x:f>
        <x:v>0.45</x:v>
      </x:c>
      <x:c r="K20" s="54" t="n">
        <x:f>INDEX(Scenarios!$B$7:$D$7,1,MATCH($C4,Scenarios!$B$3:$D$3,0))</x:f>
        <x:v>0.55</x:v>
      </x:c>
      <x:c r="L20" s="54" t="n">
        <x:f>INDEX(Scenarios!$B$8:$D$8,1,MATCH($C4,Scenarios!$B$3:$D$3,0))</x:f>
        <x:v>0.2</x:v>
      </x:c>
      <x:c r="M20" s="53" t="n">
        <x:f>SUM($H$4:H20)</x:f>
        <x:v>100.97999999999999</x:v>
      </x:c>
      <x:c r="N20" s="53" t="n">
        <x:f>MAX(0,N19+H20-O20)</x:f>
        <x:v>100.97999999999999</x:v>
      </x:c>
      <x:c r="O20" s="53" t="n">
        <x:f>N20*INDEX(Scenarios!$B$9:$D$9,1,MATCH($C20,Scenarios!$B$3:$D$3,0))</x:f>
        <x:v>0</x:v>
      </x:c>
      <x:c r="P20" s="26"/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>
      <x:c r="A21" s="26" t="n">
        <x:f>18</x:f>
        <x:v>18</x:v>
      </x:c>
      <x:c r="B21" s="52" t="n">
        <x:f>EDATE(B20,1)</x:f>
        <x:v>46692</x:v>
      </x:c>
      <x:c r="C21" s="26" t="str">
        <x:f>Assumptions!$C$4</x:f>
        <x:v>Base</x:v>
      </x:c>
      <x:c r="D21" s="53" t="n">
        <x:f>INDEX(Scenarios!$B$4:$D$4,1,MATCH($C4,Scenarios!$B$3:$D$3,0))</x:f>
        <x:v>3000</x:v>
      </x:c>
      <x:c r="E21" s="53" t="n">
        <x:f>D21*I21</x:f>
        <x:v>120</x:v>
      </x:c>
      <x:c r="F21" s="53" t="n">
        <x:f>E21*J21</x:f>
        <x:v>54</x:v>
      </x:c>
      <x:c r="G21" s="53" t="n">
        <x:f>F21*K21</x:f>
        <x:v>29.700000000000003</x:v>
      </x:c>
      <x:c r="H21" s="53" t="n">
        <x:f>G21*L21</x:f>
        <x:v>5.940000000000001</x:v>
      </x:c>
      <x:c r="I21" s="54" t="n">
        <x:f>INDEX(Scenarios!$B$5:$D$5,1,MATCH($C4,Scenarios!$B$3:$D$3,0))</x:f>
        <x:v>0.04</x:v>
      </x:c>
      <x:c r="J21" s="54" t="n">
        <x:f>INDEX(Scenarios!$B$6:$D$6,1,MATCH($C4,Scenarios!$B$3:$D$3,0))</x:f>
        <x:v>0.45</x:v>
      </x:c>
      <x:c r="K21" s="54" t="n">
        <x:f>INDEX(Scenarios!$B$7:$D$7,1,MATCH($C4,Scenarios!$B$3:$D$3,0))</x:f>
        <x:v>0.55</x:v>
      </x:c>
      <x:c r="L21" s="54" t="n">
        <x:f>INDEX(Scenarios!$B$8:$D$8,1,MATCH($C4,Scenarios!$B$3:$D$3,0))</x:f>
        <x:v>0.2</x:v>
      </x:c>
      <x:c r="M21" s="53" t="n">
        <x:f>SUM($H$4:H21)</x:f>
        <x:v>106.91999999999999</x:v>
      </x:c>
      <x:c r="N21" s="53" t="n">
        <x:f>MAX(0,N20+H21-O21)</x:f>
        <x:v>106.91999999999999</x:v>
      </x:c>
      <x:c r="O21" s="53" t="n">
        <x:f>N21*INDEX(Scenarios!$B$9:$D$9,1,MATCH($C21,Scenarios!$B$3:$D$3,0))</x:f>
        <x:v>0</x:v>
      </x:c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>
      <x:c r="A22" s="26" t="n">
        <x:f>19</x:f>
        <x:v>19</x:v>
      </x:c>
      <x:c r="B22" s="52" t="n">
        <x:f>EDATE(B21,1)</x:f>
        <x:v>46722</x:v>
      </x:c>
      <x:c r="C22" s="26" t="str">
        <x:f>Assumptions!$C$4</x:f>
        <x:v>Base</x:v>
      </x:c>
      <x:c r="D22" s="53" t="n">
        <x:f>INDEX(Scenarios!$B$4:$D$4,1,MATCH($C4,Scenarios!$B$3:$D$3,0))</x:f>
        <x:v>3000</x:v>
      </x:c>
      <x:c r="E22" s="53" t="n">
        <x:f>D22*I22</x:f>
        <x:v>120</x:v>
      </x:c>
      <x:c r="F22" s="53" t="n">
        <x:f>E22*J22</x:f>
        <x:v>54</x:v>
      </x:c>
      <x:c r="G22" s="53" t="n">
        <x:f>F22*K22</x:f>
        <x:v>29.700000000000003</x:v>
      </x:c>
      <x:c r="H22" s="53" t="n">
        <x:f>G22*L22</x:f>
        <x:v>5.940000000000001</x:v>
      </x:c>
      <x:c r="I22" s="54" t="n">
        <x:f>INDEX(Scenarios!$B$5:$D$5,1,MATCH($C4,Scenarios!$B$3:$D$3,0))</x:f>
        <x:v>0.04</x:v>
      </x:c>
      <x:c r="J22" s="54" t="n">
        <x:f>INDEX(Scenarios!$B$6:$D$6,1,MATCH($C4,Scenarios!$B$3:$D$3,0))</x:f>
        <x:v>0.45</x:v>
      </x:c>
      <x:c r="K22" s="54" t="n">
        <x:f>INDEX(Scenarios!$B$7:$D$7,1,MATCH($C4,Scenarios!$B$3:$D$3,0))</x:f>
        <x:v>0.55</x:v>
      </x:c>
      <x:c r="L22" s="54" t="n">
        <x:f>INDEX(Scenarios!$B$8:$D$8,1,MATCH($C4,Scenarios!$B$3:$D$3,0))</x:f>
        <x:v>0.2</x:v>
      </x:c>
      <x:c r="M22" s="53" t="n">
        <x:f>SUM($H$4:H22)</x:f>
        <x:v>112.85999999999999</x:v>
      </x:c>
      <x:c r="N22" s="53" t="n">
        <x:f>MAX(0,N21+H22-O22)</x:f>
        <x:v>112.85999999999999</x:v>
      </x:c>
      <x:c r="O22" s="53" t="n">
        <x:f>N22*INDEX(Scenarios!$B$9:$D$9,1,MATCH($C22,Scenarios!$B$3:$D$3,0))</x:f>
        <x:v>0</x:v>
      </x:c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>
      <x:c r="A23" s="26" t="n">
        <x:f>20</x:f>
        <x:v>20</x:v>
      </x:c>
      <x:c r="B23" s="52" t="n">
        <x:f>EDATE(B22,1)</x:f>
        <x:v>46753</x:v>
      </x:c>
      <x:c r="C23" s="26" t="str">
        <x:f>Assumptions!$C$4</x:f>
        <x:v>Base</x:v>
      </x:c>
      <x:c r="D23" s="53" t="n">
        <x:f>INDEX(Scenarios!$B$4:$D$4,1,MATCH($C4,Scenarios!$B$3:$D$3,0))</x:f>
        <x:v>3000</x:v>
      </x:c>
      <x:c r="E23" s="53" t="n">
        <x:f>D23*I23</x:f>
        <x:v>120</x:v>
      </x:c>
      <x:c r="F23" s="53" t="n">
        <x:f>E23*J23</x:f>
        <x:v>54</x:v>
      </x:c>
      <x:c r="G23" s="53" t="n">
        <x:f>F23*K23</x:f>
        <x:v>29.700000000000003</x:v>
      </x:c>
      <x:c r="H23" s="53" t="n">
        <x:f>G23*L23</x:f>
        <x:v>5.940000000000001</x:v>
      </x:c>
      <x:c r="I23" s="54" t="n">
        <x:f>INDEX(Scenarios!$B$5:$D$5,1,MATCH($C4,Scenarios!$B$3:$D$3,0))</x:f>
        <x:v>0.04</x:v>
      </x:c>
      <x:c r="J23" s="54" t="n">
        <x:f>INDEX(Scenarios!$B$6:$D$6,1,MATCH($C4,Scenarios!$B$3:$D$3,0))</x:f>
        <x:v>0.45</x:v>
      </x:c>
      <x:c r="K23" s="54" t="n">
        <x:f>INDEX(Scenarios!$B$7:$D$7,1,MATCH($C4,Scenarios!$B$3:$D$3,0))</x:f>
        <x:v>0.55</x:v>
      </x:c>
      <x:c r="L23" s="54" t="n">
        <x:f>INDEX(Scenarios!$B$8:$D$8,1,MATCH($C4,Scenarios!$B$3:$D$3,0))</x:f>
        <x:v>0.2</x:v>
      </x:c>
      <x:c r="M23" s="53" t="n">
        <x:f>SUM($H$4:H23)</x:f>
        <x:v>118.79999999999998</x:v>
      </x:c>
      <x:c r="N23" s="53" t="n">
        <x:f>MAX(0,N22+H23-O23)</x:f>
        <x:v>118.79999999999998</x:v>
      </x:c>
      <x:c r="O23" s="53" t="n">
        <x:f>N23*INDEX(Scenarios!$B$9:$D$9,1,MATCH($C23,Scenarios!$B$3:$D$3,0))</x:f>
        <x:v>0</x:v>
      </x:c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>
      <x:c r="A24" s="26" t="n">
        <x:f>21</x:f>
        <x:v>21</x:v>
      </x:c>
      <x:c r="B24" s="52" t="n">
        <x:f>EDATE(B23,1)</x:f>
        <x:v>46784</x:v>
      </x:c>
      <x:c r="C24" s="26" t="str">
        <x:f>Assumptions!$C$4</x:f>
        <x:v>Base</x:v>
      </x:c>
      <x:c r="D24" s="53" t="n">
        <x:f>INDEX(Scenarios!$B$4:$D$4,1,MATCH($C4,Scenarios!$B$3:$D$3,0))</x:f>
        <x:v>3000</x:v>
      </x:c>
      <x:c r="E24" s="53" t="n">
        <x:f>D24*I24</x:f>
        <x:v>120</x:v>
      </x:c>
      <x:c r="F24" s="53" t="n">
        <x:f>E24*J24</x:f>
        <x:v>54</x:v>
      </x:c>
      <x:c r="G24" s="53" t="n">
        <x:f>F24*K24</x:f>
        <x:v>29.700000000000003</x:v>
      </x:c>
      <x:c r="H24" s="53" t="n">
        <x:f>G24*L24</x:f>
        <x:v>5.940000000000001</x:v>
      </x:c>
      <x:c r="I24" s="54" t="n">
        <x:f>INDEX(Scenarios!$B$5:$D$5,1,MATCH($C4,Scenarios!$B$3:$D$3,0))</x:f>
        <x:v>0.04</x:v>
      </x:c>
      <x:c r="J24" s="54" t="n">
        <x:f>INDEX(Scenarios!$B$6:$D$6,1,MATCH($C4,Scenarios!$B$3:$D$3,0))</x:f>
        <x:v>0.45</x:v>
      </x:c>
      <x:c r="K24" s="54" t="n">
        <x:f>INDEX(Scenarios!$B$7:$D$7,1,MATCH($C4,Scenarios!$B$3:$D$3,0))</x:f>
        <x:v>0.55</x:v>
      </x:c>
      <x:c r="L24" s="54" t="n">
        <x:f>INDEX(Scenarios!$B$8:$D$8,1,MATCH($C4,Scenarios!$B$3:$D$3,0))</x:f>
        <x:v>0.2</x:v>
      </x:c>
      <x:c r="M24" s="53" t="n">
        <x:f>SUM($H$4:H24)</x:f>
        <x:v>124.73999999999998</x:v>
      </x:c>
      <x:c r="N24" s="53" t="n">
        <x:f>MAX(0,N23+H24-O24)</x:f>
        <x:v>124.73999999999998</x:v>
      </x:c>
      <x:c r="O24" s="53" t="n">
        <x:f>N24*INDEX(Scenarios!$B$9:$D$9,1,MATCH($C24,Scenarios!$B$3:$D$3,0))</x:f>
        <x:v>0</x:v>
      </x:c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>
      <x:c r="A25" s="26" t="n">
        <x:f>22</x:f>
        <x:v>22</x:v>
      </x:c>
      <x:c r="B25" s="52" t="n">
        <x:f>EDATE(B24,1)</x:f>
        <x:v>46813</x:v>
      </x:c>
      <x:c r="C25" s="26" t="str">
        <x:f>Assumptions!$C$4</x:f>
        <x:v>Base</x:v>
      </x:c>
      <x:c r="D25" s="53" t="n">
        <x:f>INDEX(Scenarios!$B$4:$D$4,1,MATCH($C4,Scenarios!$B$3:$D$3,0))</x:f>
        <x:v>3000</x:v>
      </x:c>
      <x:c r="E25" s="53" t="n">
        <x:f>D25*I25</x:f>
        <x:v>120</x:v>
      </x:c>
      <x:c r="F25" s="53" t="n">
        <x:f>E25*J25</x:f>
        <x:v>54</x:v>
      </x:c>
      <x:c r="G25" s="53" t="n">
        <x:f>F25*K25</x:f>
        <x:v>29.700000000000003</x:v>
      </x:c>
      <x:c r="H25" s="53" t="n">
        <x:f>G25*L25</x:f>
        <x:v>5.940000000000001</x:v>
      </x:c>
      <x:c r="I25" s="54" t="n">
        <x:f>INDEX(Scenarios!$B$5:$D$5,1,MATCH($C4,Scenarios!$B$3:$D$3,0))</x:f>
        <x:v>0.04</x:v>
      </x:c>
      <x:c r="J25" s="54" t="n">
        <x:f>INDEX(Scenarios!$B$6:$D$6,1,MATCH($C4,Scenarios!$B$3:$D$3,0))</x:f>
        <x:v>0.45</x:v>
      </x:c>
      <x:c r="K25" s="54" t="n">
        <x:f>INDEX(Scenarios!$B$7:$D$7,1,MATCH($C4,Scenarios!$B$3:$D$3,0))</x:f>
        <x:v>0.55</x:v>
      </x:c>
      <x:c r="L25" s="54" t="n">
        <x:f>INDEX(Scenarios!$B$8:$D$8,1,MATCH($C4,Scenarios!$B$3:$D$3,0))</x:f>
        <x:v>0.2</x:v>
      </x:c>
      <x:c r="M25" s="53" t="n">
        <x:f>SUM($H$4:H25)</x:f>
        <x:v>130.67999999999998</x:v>
      </x:c>
      <x:c r="N25" s="53" t="n">
        <x:f>MAX(0,N24+H25-O25)</x:f>
        <x:v>130.67999999999998</x:v>
      </x:c>
      <x:c r="O25" s="53" t="n">
        <x:f>N25*INDEX(Scenarios!$B$9:$D$9,1,MATCH($C25,Scenarios!$B$3:$D$3,0))</x:f>
        <x:v>0</x:v>
      </x:c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>
      <x:c r="A26" s="26" t="n">
        <x:f>23</x:f>
        <x:v>23</x:v>
      </x:c>
      <x:c r="B26" s="52" t="n">
        <x:f>EDATE(B25,1)</x:f>
        <x:v>46844</x:v>
      </x:c>
      <x:c r="C26" s="26" t="str">
        <x:f>Assumptions!$C$4</x:f>
        <x:v>Base</x:v>
      </x:c>
      <x:c r="D26" s="53" t="n">
        <x:f>INDEX(Scenarios!$B$4:$D$4,1,MATCH($C4,Scenarios!$B$3:$D$3,0))</x:f>
        <x:v>3000</x:v>
      </x:c>
      <x:c r="E26" s="53" t="n">
        <x:f>D26*I26</x:f>
        <x:v>120</x:v>
      </x:c>
      <x:c r="F26" s="53" t="n">
        <x:f>E26*J26</x:f>
        <x:v>54</x:v>
      </x:c>
      <x:c r="G26" s="53" t="n">
        <x:f>F26*K26</x:f>
        <x:v>29.700000000000003</x:v>
      </x:c>
      <x:c r="H26" s="53" t="n">
        <x:f>G26*L26</x:f>
        <x:v>5.940000000000001</x:v>
      </x:c>
      <x:c r="I26" s="54" t="n">
        <x:f>INDEX(Scenarios!$B$5:$D$5,1,MATCH($C4,Scenarios!$B$3:$D$3,0))</x:f>
        <x:v>0.04</x:v>
      </x:c>
      <x:c r="J26" s="54" t="n">
        <x:f>INDEX(Scenarios!$B$6:$D$6,1,MATCH($C4,Scenarios!$B$3:$D$3,0))</x:f>
        <x:v>0.45</x:v>
      </x:c>
      <x:c r="K26" s="54" t="n">
        <x:f>INDEX(Scenarios!$B$7:$D$7,1,MATCH($C4,Scenarios!$B$3:$D$3,0))</x:f>
        <x:v>0.55</x:v>
      </x:c>
      <x:c r="L26" s="54" t="n">
        <x:f>INDEX(Scenarios!$B$8:$D$8,1,MATCH($C4,Scenarios!$B$3:$D$3,0))</x:f>
        <x:v>0.2</x:v>
      </x:c>
      <x:c r="M26" s="53" t="n">
        <x:f>SUM($H$4:H26)</x:f>
        <x:v>136.61999999999998</x:v>
      </x:c>
      <x:c r="N26" s="53" t="n">
        <x:f>MAX(0,N25+H26-O26)</x:f>
        <x:v>136.61999999999998</x:v>
      </x:c>
      <x:c r="O26" s="53" t="n">
        <x:f>N26*INDEX(Scenarios!$B$9:$D$9,1,MATCH($C26,Scenarios!$B$3:$D$3,0))</x:f>
        <x:v>0</x:v>
      </x:c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>
      <x:c r="A27" s="26" t="n">
        <x:f>24</x:f>
        <x:v>24</x:v>
      </x:c>
      <x:c r="B27" s="52" t="n">
        <x:f>EDATE(B26,1)</x:f>
        <x:v>46874</x:v>
      </x:c>
      <x:c r="C27" s="26" t="str">
        <x:f>Assumptions!$C$4</x:f>
        <x:v>Base</x:v>
      </x:c>
      <x:c r="D27" s="53" t="n">
        <x:f>INDEX(Scenarios!$B$4:$D$4,1,MATCH($C4,Scenarios!$B$3:$D$3,0))</x:f>
        <x:v>3000</x:v>
      </x:c>
      <x:c r="E27" s="53" t="n">
        <x:f>D27*I27</x:f>
        <x:v>120</x:v>
      </x:c>
      <x:c r="F27" s="53" t="n">
        <x:f>E27*J27</x:f>
        <x:v>54</x:v>
      </x:c>
      <x:c r="G27" s="53" t="n">
        <x:f>F27*K27</x:f>
        <x:v>29.700000000000003</x:v>
      </x:c>
      <x:c r="H27" s="53" t="n">
        <x:f>G27*L27</x:f>
        <x:v>5.940000000000001</x:v>
      </x:c>
      <x:c r="I27" s="54" t="n">
        <x:f>INDEX(Scenarios!$B$5:$D$5,1,MATCH($C4,Scenarios!$B$3:$D$3,0))</x:f>
        <x:v>0.04</x:v>
      </x:c>
      <x:c r="J27" s="54" t="n">
        <x:f>INDEX(Scenarios!$B$6:$D$6,1,MATCH($C4,Scenarios!$B$3:$D$3,0))</x:f>
        <x:v>0.45</x:v>
      </x:c>
      <x:c r="K27" s="54" t="n">
        <x:f>INDEX(Scenarios!$B$7:$D$7,1,MATCH($C4,Scenarios!$B$3:$D$3,0))</x:f>
        <x:v>0.55</x:v>
      </x:c>
      <x:c r="L27" s="54" t="n">
        <x:f>INDEX(Scenarios!$B$8:$D$8,1,MATCH($C4,Scenarios!$B$3:$D$3,0))</x:f>
        <x:v>0.2</x:v>
      </x:c>
      <x:c r="M27" s="53" t="n">
        <x:f>SUM($H$4:H27)</x:f>
        <x:v>142.55999999999997</x:v>
      </x:c>
      <x:c r="N27" s="53" t="n">
        <x:f>MAX(0,N26+H27-O27)</x:f>
        <x:v>142.55999999999997</x:v>
      </x:c>
      <x:c r="O27" s="53" t="n">
        <x:f>N27*INDEX(Scenarios!$B$9:$D$9,1,MATCH($C27,Scenarios!$B$3:$D$3,0))</x:f>
        <x:v>0</x:v>
      </x:c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>
      <x:c r="A28" s="26"/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>
      <x:c r="A29" s="26"/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>
      <x:c r="A30" s="26"/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>
      <x:c r="A31" s="26"/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>
      <x:c r="A32" s="26"/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>
      <x:c r="A33" s="26"/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</x:row>
    <x:row r="34">
      <x:c r="A34" s="26"/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</x:row>
    <x:row r="35">
      <x:c r="A35" s="26"/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</x:row>
    <x:row r="36">
      <x:c r="A36" s="26"/>
      <x:c r="B36" s="26"/>
      <x:c r="C36" s="26"/>
      <x:c r="D36" s="26"/>
      <x:c r="E36" s="26"/>
      <x:c r="F36" s="26"/>
      <x:c r="G36" s="26"/>
      <x:c r="H36" s="26"/>
      <x:c r="I36" s="26"/>
      <x:c r="J36" s="26"/>
      <x:c r="K36" s="26"/>
      <x:c r="L36" s="26"/>
      <x:c r="M36" s="26"/>
      <x:c r="N36" s="26"/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</x:row>
    <x:row r="37">
      <x:c r="A37" s="26"/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  <x:c r="L37" s="26"/>
      <x:c r="M37" s="26"/>
      <x:c r="N37" s="26"/>
      <x:c r="O37" s="26"/>
      <x:c r="P37" s="26"/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</x:row>
    <x:row r="38">
      <x:c r="A38" s="26"/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</x:row>
    <x:row r="39">
      <x:c r="A39" s="26"/>
      <x:c r="B39" s="26"/>
      <x:c r="C39" s="26"/>
      <x:c r="D39" s="26"/>
      <x:c r="E39" s="26"/>
      <x:c r="F39" s="26"/>
      <x:c r="G39" s="26"/>
      <x:c r="H39" s="26"/>
      <x:c r="I39" s="26"/>
      <x:c r="J39" s="26"/>
      <x:c r="K39" s="26"/>
      <x:c r="L39" s="26"/>
      <x:c r="M39" s="26"/>
      <x:c r="N39" s="26"/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</x:row>
    <x:row r="40">
      <x:c r="A40" s="26"/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  <x:c r="L40" s="26"/>
      <x:c r="M40" s="26"/>
      <x:c r="N40" s="26"/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</x:row>
    <x:row r="41">
      <x:c r="A41" s="26"/>
      <x:c r="B41" s="26"/>
      <x:c r="C41" s="26"/>
      <x:c r="D41" s="26"/>
      <x:c r="E41" s="26"/>
      <x:c r="F41" s="26"/>
      <x:c r="G41" s="26"/>
      <x:c r="H41" s="26"/>
      <x:c r="I41" s="26"/>
      <x:c r="J41" s="26"/>
      <x:c r="K41" s="26"/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</x:row>
    <x:row r="42">
      <x:c r="A42" s="26"/>
      <x:c r="B42" s="26"/>
      <x:c r="C42" s="26"/>
      <x:c r="D42" s="26"/>
      <x:c r="E42" s="26"/>
      <x:c r="F42" s="26"/>
      <x:c r="G42" s="26"/>
      <x:c r="H42" s="26"/>
      <x:c r="I42" s="26"/>
      <x:c r="J42" s="26"/>
      <x:c r="K42" s="26"/>
      <x:c r="L42" s="26"/>
      <x:c r="M42" s="26"/>
      <x:c r="N42" s="26"/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</x:row>
    <x:row r="43">
      <x:c r="A43" s="26"/>
      <x:c r="B43" s="26"/>
      <x:c r="C43" s="26"/>
      <x:c r="D43" s="26"/>
      <x:c r="E43" s="26"/>
      <x:c r="F43" s="26"/>
      <x:c r="G43" s="26"/>
      <x:c r="H43" s="26"/>
      <x:c r="I43" s="26"/>
      <x:c r="J43" s="26"/>
      <x:c r="K43" s="26"/>
      <x:c r="L43" s="26"/>
      <x:c r="M43" s="26"/>
      <x:c r="N43" s="26"/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</x:row>
    <x:row r="44">
      <x:c r="A44" s="26"/>
      <x:c r="B44" s="26"/>
      <x:c r="C44" s="26"/>
      <x:c r="D44" s="26"/>
      <x:c r="E44" s="26"/>
      <x:c r="F44" s="26"/>
      <x:c r="G44" s="26"/>
      <x:c r="H44" s="26"/>
      <x:c r="I44" s="26"/>
      <x:c r="J44" s="26"/>
      <x:c r="K44" s="26"/>
      <x:c r="L44" s="26"/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</x:row>
    <x:row r="45">
      <x:c r="A45" s="26"/>
      <x:c r="B45" s="26"/>
      <x:c r="C45" s="26"/>
      <x:c r="D45" s="26"/>
      <x:c r="E45" s="26"/>
      <x:c r="F45" s="26"/>
      <x:c r="G45" s="26"/>
      <x:c r="H45" s="26"/>
      <x:c r="I45" s="26"/>
      <x:c r="J45" s="26"/>
      <x:c r="K45" s="26"/>
      <x:c r="L45" s="26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</x:row>
    <x:row r="46">
      <x:c r="A46" s="26"/>
      <x:c r="B46" s="26"/>
      <x:c r="C46" s="26"/>
      <x:c r="D46" s="26"/>
      <x:c r="E46" s="26"/>
      <x:c r="F46" s="26"/>
      <x:c r="G46" s="26"/>
      <x:c r="H46" s="26"/>
      <x:c r="I46" s="26"/>
      <x:c r="J46" s="26"/>
      <x:c r="K46" s="26"/>
      <x:c r="L46" s="26"/>
      <x:c r="M46" s="26"/>
      <x:c r="N46" s="26"/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</x:row>
    <x:row r="47">
      <x:c r="A47" s="26"/>
      <x:c r="B47" s="26"/>
      <x:c r="C47" s="26"/>
      <x:c r="D47" s="26"/>
      <x:c r="E47" s="26"/>
      <x:c r="F47" s="26"/>
      <x:c r="G47" s="26"/>
      <x:c r="H47" s="26"/>
      <x:c r="I47" s="26"/>
      <x:c r="J47" s="26"/>
      <x:c r="K47" s="26"/>
      <x:c r="L47" s="26"/>
      <x:c r="M47" s="26"/>
      <x:c r="N47" s="26"/>
      <x:c r="O47" s="26"/>
      <x:c r="P47" s="26"/>
      <x:c r="Q47" s="26"/>
      <x:c r="R47" s="26"/>
      <x:c r="S47" s="26"/>
      <x:c r="T47" s="26"/>
      <x:c r="U47" s="26"/>
      <x:c r="V47" s="26"/>
      <x:c r="W47" s="26"/>
      <x:c r="X47" s="26"/>
      <x:c r="Y47" s="26"/>
      <x:c r="Z47" s="26"/>
    </x:row>
    <x:row r="48">
      <x:c r="A48" s="26"/>
      <x:c r="B48" s="26"/>
      <x:c r="C48" s="26"/>
      <x:c r="D48" s="26"/>
      <x:c r="E48" s="26"/>
      <x:c r="F48" s="26"/>
      <x:c r="G48" s="26"/>
      <x:c r="H48" s="26"/>
      <x:c r="I48" s="26"/>
      <x:c r="J48" s="26"/>
      <x:c r="K48" s="26"/>
      <x:c r="L48" s="26"/>
      <x:c r="M48" s="26"/>
      <x:c r="N48" s="26"/>
      <x:c r="O48" s="26"/>
      <x:c r="P48" s="26"/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</x:row>
    <x:row r="49">
      <x:c r="A49" s="26"/>
      <x:c r="B49" s="26"/>
      <x:c r="C49" s="26"/>
      <x:c r="D49" s="26"/>
      <x:c r="E49" s="26"/>
      <x:c r="F49" s="26"/>
      <x:c r="G49" s="26"/>
      <x:c r="H49" s="26"/>
      <x:c r="I49" s="26"/>
      <x:c r="J49" s="26"/>
      <x:c r="K49" s="26"/>
      <x:c r="L49" s="26"/>
      <x:c r="M49" s="26"/>
      <x:c r="N49" s="26"/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</x:row>
    <x:row r="50">
      <x:c r="A50" s="26"/>
      <x:c r="B50" s="26"/>
      <x:c r="C50" s="26"/>
      <x:c r="D50" s="26"/>
      <x:c r="E50" s="26"/>
      <x:c r="F50" s="26"/>
      <x:c r="G50" s="26"/>
      <x:c r="H50" s="26"/>
      <x:c r="I50" s="26"/>
      <x:c r="J50" s="26"/>
      <x:c r="K50" s="26"/>
      <x:c r="L50" s="26"/>
      <x:c r="M50" s="26"/>
      <x:c r="N50" s="26"/>
      <x:c r="O50" s="26"/>
      <x:c r="P50" s="26"/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</x:row>
    <x:row r="51">
      <x:c r="A51" s="26"/>
      <x:c r="B51" s="26"/>
      <x:c r="C51" s="26"/>
      <x:c r="D51" s="26"/>
      <x:c r="E51" s="26"/>
      <x:c r="F51" s="26"/>
      <x:c r="G51" s="26"/>
      <x:c r="H51" s="26"/>
      <x:c r="I51" s="26"/>
      <x:c r="J51" s="26"/>
      <x:c r="K51" s="26"/>
      <x:c r="L51" s="26"/>
      <x:c r="M51" s="26"/>
      <x:c r="N51" s="26"/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</x:row>
    <x:row r="52">
      <x:c r="A52" s="26"/>
      <x:c r="B52" s="26"/>
      <x:c r="C52" s="26"/>
      <x:c r="D52" s="26"/>
      <x:c r="E52" s="26"/>
      <x:c r="F52" s="26"/>
      <x:c r="G52" s="26"/>
      <x:c r="H52" s="26"/>
      <x:c r="I52" s="26"/>
      <x:c r="J52" s="26"/>
      <x:c r="K52" s="26"/>
      <x:c r="L52" s="26"/>
      <x:c r="M52" s="26"/>
      <x:c r="N52" s="26"/>
      <x:c r="O52" s="26"/>
      <x:c r="P52" s="26"/>
      <x:c r="Q52" s="26"/>
      <x:c r="R52" s="26"/>
      <x:c r="S52" s="26"/>
      <x:c r="T52" s="26"/>
      <x:c r="U52" s="26"/>
      <x:c r="V52" s="26"/>
      <x:c r="W52" s="26"/>
      <x:c r="X52" s="26"/>
      <x:c r="Y52" s="26"/>
      <x:c r="Z52" s="26"/>
    </x:row>
    <x:row r="53">
      <x:c r="A53" s="26"/>
      <x:c r="B53" s="26"/>
      <x:c r="C53" s="26"/>
      <x:c r="D53" s="26"/>
      <x:c r="E53" s="26"/>
      <x:c r="F53" s="26"/>
      <x:c r="G53" s="26"/>
      <x:c r="H53" s="26"/>
      <x:c r="I53" s="26"/>
      <x:c r="J53" s="26"/>
      <x:c r="K53" s="26"/>
      <x:c r="L53" s="26"/>
      <x:c r="M53" s="26"/>
      <x:c r="N53" s="26"/>
      <x:c r="O53" s="26"/>
      <x:c r="P53" s="26"/>
      <x:c r="Q53" s="26"/>
      <x:c r="R53" s="26"/>
      <x:c r="S53" s="26"/>
      <x:c r="T53" s="26"/>
      <x:c r="U53" s="26"/>
      <x:c r="V53" s="26"/>
      <x:c r="W53" s="26"/>
      <x:c r="X53" s="26"/>
      <x:c r="Y53" s="26"/>
      <x:c r="Z53" s="26"/>
    </x:row>
    <x:row r="54">
      <x:c r="A54" s="26"/>
      <x:c r="B54" s="26"/>
      <x:c r="C54" s="26"/>
      <x:c r="D54" s="26"/>
      <x:c r="E54" s="26"/>
      <x:c r="F54" s="26"/>
      <x:c r="G54" s="26"/>
      <x:c r="H54" s="26"/>
      <x:c r="I54" s="26"/>
      <x:c r="J54" s="26"/>
      <x:c r="K54" s="26"/>
      <x:c r="L54" s="26"/>
      <x:c r="M54" s="26"/>
      <x:c r="N54" s="26"/>
      <x:c r="O54" s="26"/>
      <x:c r="P54" s="26"/>
      <x:c r="Q54" s="26"/>
      <x:c r="R54" s="26"/>
      <x:c r="S54" s="26"/>
      <x:c r="T54" s="26"/>
      <x:c r="U54" s="26"/>
      <x:c r="V54" s="26"/>
      <x:c r="W54" s="26"/>
      <x:c r="X54" s="26"/>
      <x:c r="Y54" s="26"/>
      <x:c r="Z54" s="26"/>
    </x:row>
    <x:row r="55">
      <x:c r="A55" s="26"/>
      <x:c r="B55" s="26"/>
      <x:c r="C55" s="26"/>
      <x:c r="D55" s="26"/>
      <x:c r="E55" s="26"/>
      <x:c r="F55" s="26"/>
      <x:c r="G55" s="26"/>
      <x:c r="H55" s="26"/>
      <x:c r="I55" s="26"/>
      <x:c r="J55" s="26"/>
      <x:c r="K55" s="26"/>
      <x:c r="L55" s="26"/>
      <x:c r="M55" s="26"/>
      <x:c r="N55" s="26"/>
      <x:c r="O55" s="26"/>
      <x:c r="P55" s="26"/>
      <x:c r="Q55" s="26"/>
      <x:c r="R55" s="26"/>
      <x:c r="S55" s="26"/>
      <x:c r="T55" s="26"/>
      <x:c r="U55" s="26"/>
      <x:c r="V55" s="26"/>
      <x:c r="W55" s="26"/>
      <x:c r="X55" s="26"/>
      <x:c r="Y55" s="26"/>
      <x:c r="Z55" s="26"/>
    </x:row>
    <x:row r="56">
      <x:c r="A56" s="26"/>
      <x:c r="B56" s="26"/>
      <x:c r="C56" s="26"/>
      <x:c r="D56" s="26"/>
      <x:c r="E56" s="26"/>
      <x:c r="F56" s="26"/>
      <x:c r="G56" s="26"/>
      <x:c r="H56" s="26"/>
      <x:c r="I56" s="26"/>
      <x:c r="J56" s="26"/>
      <x:c r="K56" s="26"/>
      <x:c r="L56" s="26"/>
      <x:c r="M56" s="26"/>
      <x:c r="N56" s="26"/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</x:row>
    <x:row r="57">
      <x:c r="A57" s="26"/>
      <x:c r="B57" s="26"/>
      <x:c r="C57" s="26"/>
      <x:c r="D57" s="26"/>
      <x:c r="E57" s="26"/>
      <x:c r="F57" s="26"/>
      <x:c r="G57" s="26"/>
      <x:c r="H57" s="26"/>
      <x:c r="I57" s="26"/>
      <x:c r="J57" s="26"/>
      <x:c r="K57" s="26"/>
      <x:c r="L57" s="26"/>
      <x:c r="M57" s="26"/>
      <x:c r="N57" s="26"/>
      <x:c r="O57" s="26"/>
      <x:c r="P57" s="26"/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</x:row>
    <x:row r="58">
      <x:c r="A58" s="26"/>
      <x:c r="B58" s="26"/>
      <x:c r="C58" s="26"/>
      <x:c r="D58" s="26"/>
      <x:c r="E58" s="26"/>
      <x:c r="F58" s="26"/>
      <x:c r="G58" s="26"/>
      <x:c r="H58" s="26"/>
      <x:c r="I58" s="26"/>
      <x:c r="J58" s="26"/>
      <x:c r="K58" s="26"/>
      <x:c r="L58" s="26"/>
      <x:c r="M58" s="26"/>
      <x:c r="N58" s="26"/>
      <x:c r="O58" s="26"/>
      <x:c r="P58" s="26"/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</x:row>
    <x:row r="59">
      <x:c r="A59" s="26"/>
      <x:c r="B59" s="26"/>
      <x:c r="C59" s="26"/>
      <x:c r="D59" s="26"/>
      <x:c r="E59" s="26"/>
      <x:c r="F59" s="26"/>
      <x:c r="G59" s="26"/>
      <x:c r="H59" s="26"/>
      <x:c r="I59" s="26"/>
      <x:c r="J59" s="26"/>
      <x:c r="K59" s="26"/>
      <x:c r="L59" s="26"/>
      <x:c r="M59" s="26"/>
      <x:c r="N59" s="26"/>
      <x:c r="O59" s="26"/>
      <x:c r="P59" s="26"/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</x:row>
    <x:row r="60">
      <x:c r="A60" s="26"/>
      <x:c r="B60" s="26"/>
      <x:c r="C60" s="26"/>
      <x:c r="D60" s="26"/>
      <x:c r="E60" s="26"/>
      <x:c r="F60" s="26"/>
      <x:c r="G60" s="26"/>
      <x:c r="H60" s="26"/>
      <x:c r="I60" s="26"/>
      <x:c r="J60" s="26"/>
      <x:c r="K60" s="26"/>
      <x:c r="L60" s="26"/>
      <x:c r="M60" s="26"/>
      <x:c r="N60" s="26"/>
      <x:c r="O60" s="26"/>
      <x:c r="P60" s="26"/>
      <x:c r="Q60" s="26"/>
      <x:c r="R60" s="26"/>
      <x:c r="S60" s="26"/>
      <x:c r="T60" s="26"/>
      <x:c r="U60" s="26"/>
      <x:c r="V60" s="26"/>
      <x:c r="W60" s="26"/>
      <x:c r="X60" s="26"/>
      <x:c r="Y60" s="26"/>
      <x:c r="Z60" s="26"/>
    </x:row>
    <x:row r="61">
      <x:c r="A61" s="26"/>
      <x:c r="B61" s="26"/>
      <x:c r="C61" s="26"/>
      <x:c r="D61" s="26"/>
      <x:c r="E61" s="26"/>
      <x:c r="F61" s="26"/>
      <x:c r="G61" s="26"/>
      <x:c r="H61" s="26"/>
      <x:c r="I61" s="26"/>
      <x:c r="J61" s="26"/>
      <x:c r="K61" s="26"/>
      <x:c r="L61" s="26"/>
      <x:c r="M61" s="26"/>
      <x:c r="N61" s="26"/>
      <x:c r="O61" s="26"/>
      <x:c r="P61" s="26"/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</x:row>
    <x:row r="62">
      <x:c r="A62" s="26"/>
      <x:c r="B62" s="26"/>
      <x:c r="C62" s="26"/>
      <x:c r="D62" s="26"/>
      <x:c r="E62" s="26"/>
      <x:c r="F62" s="26"/>
      <x:c r="G62" s="26"/>
      <x:c r="H62" s="26"/>
      <x:c r="I62" s="26"/>
      <x:c r="J62" s="26"/>
      <x:c r="K62" s="26"/>
      <x:c r="L62" s="26"/>
      <x:c r="M62" s="26"/>
      <x:c r="N62" s="26"/>
      <x:c r="O62" s="26"/>
      <x:c r="P62" s="26"/>
      <x:c r="Q62" s="26"/>
      <x:c r="R62" s="26"/>
      <x:c r="S62" s="26"/>
      <x:c r="T62" s="26"/>
      <x:c r="U62" s="26"/>
      <x:c r="V62" s="26"/>
      <x:c r="W62" s="26"/>
      <x:c r="X62" s="26"/>
      <x:c r="Y62" s="26"/>
      <x:c r="Z62" s="26"/>
    </x:row>
    <x:row r="63">
      <x:c r="A63" s="26"/>
      <x:c r="B63" s="26"/>
      <x:c r="C63" s="26"/>
      <x:c r="D63" s="26"/>
      <x:c r="E63" s="26"/>
      <x:c r="F63" s="26"/>
      <x:c r="G63" s="26"/>
      <x:c r="H63" s="26"/>
      <x:c r="I63" s="26"/>
      <x:c r="J63" s="26"/>
      <x:c r="K63" s="26"/>
      <x:c r="L63" s="26"/>
      <x:c r="M63" s="26"/>
      <x:c r="N63" s="26"/>
      <x:c r="O63" s="26"/>
      <x:c r="P63" s="26"/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</x:row>
    <x:row r="64">
      <x:c r="A64" s="26"/>
      <x:c r="B64" s="26"/>
      <x:c r="C64" s="26"/>
      <x:c r="D64" s="26"/>
      <x:c r="E64" s="26"/>
      <x:c r="F64" s="26"/>
      <x:c r="G64" s="26"/>
      <x:c r="H64" s="26"/>
      <x:c r="I64" s="26"/>
      <x:c r="J64" s="26"/>
      <x:c r="K64" s="26"/>
      <x:c r="L64" s="26"/>
      <x:c r="M64" s="26"/>
      <x:c r="N64" s="26"/>
      <x:c r="O64" s="26"/>
      <x:c r="P64" s="26"/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</x:row>
    <x:row r="65">
      <x:c r="A65" s="26"/>
      <x:c r="B65" s="26"/>
      <x:c r="C65" s="26"/>
      <x:c r="D65" s="26"/>
      <x:c r="E65" s="26"/>
      <x:c r="F65" s="26"/>
      <x:c r="G65" s="26"/>
      <x:c r="H65" s="26"/>
      <x:c r="I65" s="26"/>
      <x:c r="J65" s="26"/>
      <x:c r="K65" s="26"/>
      <x:c r="L65" s="26"/>
      <x:c r="M65" s="26"/>
      <x:c r="N65" s="26"/>
      <x:c r="O65" s="26"/>
      <x:c r="P65" s="26"/>
      <x:c r="Q65" s="26"/>
      <x:c r="R65" s="26"/>
      <x:c r="S65" s="26"/>
      <x:c r="T65" s="26"/>
      <x:c r="U65" s="26"/>
      <x:c r="V65" s="26"/>
      <x:c r="W65" s="26"/>
      <x:c r="X65" s="26"/>
      <x:c r="Y65" s="26"/>
      <x:c r="Z65" s="26"/>
    </x:row>
    <x:row r="66">
      <x:c r="A66" s="26"/>
      <x:c r="B66" s="26"/>
      <x:c r="C66" s="26"/>
      <x:c r="D66" s="26"/>
      <x:c r="E66" s="26"/>
      <x:c r="F66" s="26"/>
      <x:c r="G66" s="26"/>
      <x:c r="H66" s="26"/>
      <x:c r="I66" s="26"/>
      <x:c r="J66" s="26"/>
      <x:c r="K66" s="26"/>
      <x:c r="L66" s="26"/>
      <x:c r="M66" s="26"/>
      <x:c r="N66" s="26"/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</x:row>
    <x:row r="67">
      <x:c r="A67" s="26"/>
      <x:c r="B67" s="26"/>
      <x:c r="C67" s="26"/>
      <x:c r="D67" s="26"/>
      <x:c r="E67" s="26"/>
      <x:c r="F67" s="26"/>
      <x:c r="G67" s="26"/>
      <x:c r="H67" s="26"/>
      <x:c r="I67" s="26"/>
      <x:c r="J67" s="26"/>
      <x:c r="K67" s="26"/>
      <x:c r="L67" s="26"/>
      <x:c r="M67" s="26"/>
      <x:c r="N67" s="26"/>
      <x:c r="O67" s="26"/>
      <x:c r="P67" s="26"/>
      <x:c r="Q67" s="26"/>
      <x:c r="R67" s="26"/>
      <x:c r="S67" s="26"/>
      <x:c r="T67" s="26"/>
      <x:c r="U67" s="26"/>
      <x:c r="V67" s="26"/>
      <x:c r="W67" s="26"/>
      <x:c r="X67" s="26"/>
      <x:c r="Y67" s="26"/>
      <x:c r="Z67" s="26"/>
    </x:row>
    <x:row r="68">
      <x:c r="A68" s="26"/>
      <x:c r="B68" s="26"/>
      <x:c r="C68" s="26"/>
      <x:c r="D68" s="26"/>
      <x:c r="E68" s="26"/>
      <x:c r="F68" s="26"/>
      <x:c r="G68" s="26"/>
      <x:c r="H68" s="26"/>
      <x:c r="I68" s="26"/>
      <x:c r="J68" s="26"/>
      <x:c r="K68" s="26"/>
      <x:c r="L68" s="26"/>
      <x:c r="M68" s="26"/>
      <x:c r="N68" s="26"/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6"/>
      <x:c r="Z68" s="26"/>
    </x:row>
    <x:row r="69">
      <x:c r="A69" s="26"/>
      <x:c r="B69" s="26"/>
      <x:c r="C69" s="26"/>
      <x:c r="D69" s="26"/>
      <x:c r="E69" s="26"/>
      <x:c r="F69" s="26"/>
      <x:c r="G69" s="26"/>
      <x:c r="H69" s="26"/>
      <x:c r="I69" s="26"/>
      <x:c r="J69" s="26"/>
      <x:c r="K69" s="26"/>
      <x:c r="L69" s="26"/>
      <x:c r="M69" s="26"/>
      <x:c r="N69" s="26"/>
      <x:c r="O69" s="26"/>
      <x:c r="P69" s="26"/>
      <x:c r="Q69" s="26"/>
      <x:c r="R69" s="26"/>
      <x:c r="S69" s="26"/>
      <x:c r="T69" s="26"/>
      <x:c r="U69" s="26"/>
      <x:c r="V69" s="26"/>
      <x:c r="W69" s="26"/>
      <x:c r="X69" s="26"/>
      <x:c r="Y69" s="26"/>
      <x:c r="Z69" s="26"/>
    </x:row>
    <x:row r="70">
      <x:c r="A70" s="26"/>
      <x:c r="B70" s="26"/>
      <x:c r="C70" s="26"/>
      <x:c r="D70" s="26"/>
      <x:c r="E70" s="26"/>
      <x:c r="F70" s="26"/>
      <x:c r="G70" s="26"/>
      <x:c r="H70" s="26"/>
      <x:c r="I70" s="26"/>
      <x:c r="J70" s="26"/>
      <x:c r="K70" s="26"/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</x:row>
    <x:row r="71">
      <x:c r="A71" s="26"/>
      <x:c r="B71" s="26"/>
      <x:c r="C71" s="26"/>
      <x:c r="D71" s="26"/>
      <x:c r="E71" s="26"/>
      <x:c r="F71" s="26"/>
      <x:c r="G71" s="26"/>
      <x:c r="H71" s="26"/>
      <x:c r="I71" s="26"/>
      <x:c r="J71" s="26"/>
      <x:c r="K71" s="26"/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6"/>
      <x:c r="Z71" s="26"/>
    </x:row>
    <x:row r="72">
      <x:c r="A72" s="26"/>
      <x:c r="B72" s="26"/>
      <x:c r="C72" s="26"/>
      <x:c r="D72" s="26"/>
      <x:c r="E72" s="26"/>
      <x:c r="F72" s="26"/>
      <x:c r="G72" s="26"/>
      <x:c r="H72" s="26"/>
      <x:c r="I72" s="26"/>
      <x:c r="J72" s="26"/>
      <x:c r="K72" s="26"/>
      <x:c r="L72" s="26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/>
      <x:c r="Y72" s="26"/>
      <x:c r="Z72" s="26"/>
    </x:row>
    <x:row r="73">
      <x:c r="A73" s="26"/>
      <x:c r="B73" s="26"/>
      <x:c r="C73" s="26"/>
      <x:c r="D73" s="26"/>
      <x:c r="E73" s="26"/>
      <x:c r="F73" s="26"/>
      <x:c r="G73" s="26"/>
      <x:c r="H73" s="26"/>
      <x:c r="I73" s="26"/>
      <x:c r="J73" s="26"/>
      <x:c r="K73" s="26"/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</x:row>
    <x:row r="74">
      <x:c r="A74" s="26"/>
      <x:c r="B74" s="26"/>
      <x:c r="C74" s="26"/>
      <x:c r="D74" s="26"/>
      <x:c r="E74" s="26"/>
      <x:c r="F74" s="26"/>
      <x:c r="G74" s="26"/>
      <x:c r="H74" s="26"/>
      <x:c r="I74" s="26"/>
      <x:c r="J74" s="26"/>
      <x:c r="K74" s="26"/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6"/>
      <x:c r="Z74" s="26"/>
    </x:row>
    <x:row r="75">
      <x:c r="A75" s="26"/>
      <x:c r="B75" s="26"/>
      <x:c r="C75" s="26"/>
      <x:c r="D75" s="26"/>
      <x:c r="E75" s="26"/>
      <x:c r="F75" s="26"/>
      <x:c r="G75" s="26"/>
      <x:c r="H75" s="26"/>
      <x:c r="I75" s="26"/>
      <x:c r="J75" s="26"/>
      <x:c r="K75" s="26"/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6"/>
      <x:c r="Z75" s="26"/>
    </x:row>
    <x:row r="76">
      <x:c r="A76" s="26"/>
      <x:c r="B76" s="26"/>
      <x:c r="C76" s="26"/>
      <x:c r="D76" s="26"/>
      <x:c r="E76" s="26"/>
      <x:c r="F76" s="26"/>
      <x:c r="G76" s="26"/>
      <x:c r="H76" s="26"/>
      <x:c r="I76" s="26"/>
      <x:c r="J76" s="26"/>
      <x:c r="K76" s="26"/>
      <x:c r="L76" s="26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6"/>
      <x:c r="Z76" s="26"/>
    </x:row>
    <x:row r="77">
      <x:c r="A77" s="26"/>
      <x:c r="B77" s="26"/>
      <x:c r="C77" s="26"/>
      <x:c r="D77" s="26"/>
      <x:c r="E77" s="26"/>
      <x:c r="F77" s="26"/>
      <x:c r="G77" s="26"/>
      <x:c r="H77" s="26"/>
      <x:c r="I77" s="26"/>
      <x:c r="J77" s="26"/>
      <x:c r="K77" s="26"/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</x:row>
    <x:row r="78">
      <x:c r="A78" s="26"/>
      <x:c r="B78" s="26"/>
      <x:c r="C78" s="26"/>
      <x:c r="D78" s="26"/>
      <x:c r="E78" s="26"/>
      <x:c r="F78" s="26"/>
      <x:c r="G78" s="26"/>
      <x:c r="H78" s="26"/>
      <x:c r="I78" s="26"/>
      <x:c r="J78" s="26"/>
      <x:c r="K78" s="26"/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6"/>
      <x:c r="Z78" s="26"/>
    </x:row>
    <x:row r="79">
      <x:c r="A79" s="26"/>
      <x:c r="B79" s="26"/>
      <x:c r="C79" s="26"/>
      <x:c r="D79" s="26"/>
      <x:c r="E79" s="26"/>
      <x:c r="F79" s="26"/>
      <x:c r="G79" s="26"/>
      <x:c r="H79" s="26"/>
      <x:c r="I79" s="26"/>
      <x:c r="J79" s="26"/>
      <x:c r="K79" s="26"/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/>
      <x:c r="Z79" s="26"/>
    </x:row>
    <x:row r="80">
      <x:c r="A80" s="26"/>
      <x:c r="B80" s="26"/>
      <x:c r="C80" s="26"/>
      <x:c r="D80" s="26"/>
      <x:c r="E80" s="26"/>
      <x:c r="F80" s="26"/>
      <x:c r="G80" s="26"/>
      <x:c r="H80" s="26"/>
      <x:c r="I80" s="26"/>
      <x:c r="J80" s="26"/>
      <x:c r="K80" s="26"/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</x:row>
    <x:row r="81">
      <x:c r="A81" s="26"/>
      <x:c r="B81" s="26"/>
      <x:c r="C81" s="26"/>
      <x:c r="D81" s="26"/>
      <x:c r="E81" s="26"/>
      <x:c r="F81" s="26"/>
      <x:c r="G81" s="26"/>
      <x:c r="H81" s="26"/>
      <x:c r="I81" s="26"/>
      <x:c r="J81" s="26"/>
      <x:c r="K81" s="26"/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  <x:c r="Z81" s="26"/>
    </x:row>
    <x:row r="82">
      <x:c r="A82" s="26"/>
      <x:c r="B82" s="26"/>
      <x:c r="C82" s="26"/>
      <x:c r="D82" s="26"/>
      <x:c r="E82" s="26"/>
      <x:c r="F82" s="26"/>
      <x:c r="G82" s="26"/>
      <x:c r="H82" s="26"/>
      <x:c r="I82" s="26"/>
      <x:c r="J82" s="26"/>
      <x:c r="K82" s="26"/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</x:row>
    <x:row r="83">
      <x:c r="A83" s="26"/>
      <x:c r="B83" s="26"/>
      <x:c r="C83" s="26"/>
      <x:c r="D83" s="26"/>
      <x:c r="E83" s="26"/>
      <x:c r="F83" s="26"/>
      <x:c r="G83" s="26"/>
      <x:c r="H83" s="26"/>
      <x:c r="I83" s="26"/>
      <x:c r="J83" s="26"/>
      <x:c r="K83" s="26"/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6"/>
    </x:row>
    <x:row r="84">
      <x:c r="A84" s="26"/>
      <x:c r="B84" s="26"/>
      <x:c r="C84" s="26"/>
      <x:c r="D84" s="26"/>
      <x:c r="E84" s="26"/>
      <x:c r="F84" s="26"/>
      <x:c r="G84" s="26"/>
      <x:c r="H84" s="26"/>
      <x:c r="I84" s="26"/>
      <x:c r="J84" s="26"/>
      <x:c r="K84" s="26"/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6"/>
    </x:row>
    <x:row r="85">
      <x:c r="A85" s="26"/>
      <x:c r="B85" s="26"/>
      <x:c r="C85" s="26"/>
      <x:c r="D85" s="26"/>
      <x:c r="E85" s="26"/>
      <x:c r="F85" s="26"/>
      <x:c r="G85" s="26"/>
      <x:c r="H85" s="26"/>
      <x:c r="I85" s="26"/>
      <x:c r="J85" s="26"/>
      <x:c r="K85" s="26"/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  <x:c r="Z85" s="26"/>
    </x:row>
    <x:row r="86">
      <x:c r="A86" s="26"/>
      <x:c r="B86" s="26"/>
      <x:c r="C86" s="26"/>
      <x:c r="D86" s="26"/>
      <x:c r="E86" s="26"/>
      <x:c r="F86" s="26"/>
      <x:c r="G86" s="26"/>
      <x:c r="H86" s="26"/>
      <x:c r="I86" s="26"/>
      <x:c r="J86" s="26"/>
      <x:c r="K86" s="26"/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6"/>
    </x:row>
    <x:row r="87">
      <x:c r="A87" s="26"/>
      <x:c r="B87" s="26"/>
      <x:c r="C87" s="26"/>
      <x:c r="D87" s="26"/>
      <x:c r="E87" s="26"/>
      <x:c r="F87" s="26"/>
      <x:c r="G87" s="26"/>
      <x:c r="H87" s="26"/>
      <x:c r="I87" s="26"/>
      <x:c r="J87" s="26"/>
      <x:c r="K87" s="26"/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6"/>
    </x:row>
    <x:row r="88">
      <x:c r="A88" s="26"/>
      <x:c r="B88" s="26"/>
      <x:c r="C88" s="26"/>
      <x:c r="D88" s="26"/>
      <x:c r="E88" s="26"/>
      <x:c r="F88" s="26"/>
      <x:c r="G88" s="26"/>
      <x:c r="H88" s="26"/>
      <x:c r="I88" s="26"/>
      <x:c r="J88" s="26"/>
      <x:c r="K88" s="26"/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6"/>
    </x:row>
    <x:row r="89">
      <x:c r="A89" s="26"/>
      <x:c r="B89" s="26"/>
      <x:c r="C89" s="26"/>
      <x:c r="D89" s="26"/>
      <x:c r="E89" s="26"/>
      <x:c r="F89" s="26"/>
      <x:c r="G89" s="26"/>
      <x:c r="H89" s="26"/>
      <x:c r="I89" s="26"/>
      <x:c r="J89" s="26"/>
      <x:c r="K89" s="26"/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6"/>
    </x:row>
    <x:row r="90">
      <x:c r="A90" s="26"/>
      <x:c r="B90" s="26"/>
      <x:c r="C90" s="26"/>
      <x:c r="D90" s="26"/>
      <x:c r="E90" s="26"/>
      <x:c r="F90" s="26"/>
      <x:c r="G90" s="26"/>
      <x:c r="H90" s="26"/>
      <x:c r="I90" s="26"/>
      <x:c r="J90" s="26"/>
      <x:c r="K90" s="26"/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6"/>
    </x:row>
    <x:row r="91">
      <x:c r="A91" s="26"/>
      <x:c r="B91" s="26"/>
      <x:c r="C91" s="26"/>
      <x:c r="D91" s="26"/>
      <x:c r="E91" s="26"/>
      <x:c r="F91" s="26"/>
      <x:c r="G91" s="26"/>
      <x:c r="H91" s="26"/>
      <x:c r="I91" s="26"/>
      <x:c r="J91" s="26"/>
      <x:c r="K91" s="26"/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6"/>
    </x:row>
    <x:row r="92">
      <x:c r="A92" s="26"/>
      <x:c r="B92" s="26"/>
      <x:c r="C92" s="26"/>
      <x:c r="D92" s="26"/>
      <x:c r="E92" s="26"/>
      <x:c r="F92" s="26"/>
      <x:c r="G92" s="26"/>
      <x:c r="H92" s="26"/>
      <x:c r="I92" s="26"/>
      <x:c r="J92" s="26"/>
      <x:c r="K92" s="26"/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6"/>
    </x:row>
    <x:row r="93">
      <x:c r="A93" s="26"/>
      <x:c r="B93" s="26"/>
      <x:c r="C93" s="26"/>
      <x:c r="D93" s="26"/>
      <x:c r="E93" s="26"/>
      <x:c r="F93" s="26"/>
      <x:c r="G93" s="26"/>
      <x:c r="H93" s="26"/>
      <x:c r="I93" s="26"/>
      <x:c r="J93" s="26"/>
      <x:c r="K93" s="26"/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6"/>
    </x:row>
    <x:row r="94">
      <x:c r="A94" s="26"/>
      <x:c r="B94" s="26"/>
      <x:c r="C94" s="26"/>
      <x:c r="D94" s="26"/>
      <x:c r="E94" s="26"/>
      <x:c r="F94" s="26"/>
      <x:c r="G94" s="26"/>
      <x:c r="H94" s="26"/>
      <x:c r="I94" s="26"/>
      <x:c r="J94" s="26"/>
      <x:c r="K94" s="26"/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6"/>
    </x:row>
    <x:row r="95">
      <x:c r="A95" s="26"/>
      <x:c r="B95" s="26"/>
      <x:c r="C95" s="26"/>
      <x:c r="D95" s="26"/>
      <x:c r="E95" s="26"/>
      <x:c r="F95" s="26"/>
      <x:c r="G95" s="26"/>
      <x:c r="H95" s="26"/>
      <x:c r="I95" s="26"/>
      <x:c r="J95" s="26"/>
      <x:c r="K95" s="26"/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</x:row>
    <x:row r="96">
      <x:c r="A96" s="26"/>
      <x:c r="B96" s="26"/>
      <x:c r="C96" s="26"/>
      <x:c r="D96" s="26"/>
      <x:c r="E96" s="26"/>
      <x:c r="F96" s="26"/>
      <x:c r="G96" s="26"/>
      <x:c r="H96" s="26"/>
      <x:c r="I96" s="26"/>
      <x:c r="J96" s="26"/>
      <x:c r="K96" s="26"/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</x:row>
    <x:row r="97">
      <x:c r="A97" s="26"/>
      <x:c r="B97" s="26"/>
      <x:c r="C97" s="26"/>
      <x:c r="D97" s="26"/>
      <x:c r="E97" s="26"/>
      <x:c r="F97" s="26"/>
      <x:c r="G97" s="26"/>
      <x:c r="H97" s="26"/>
      <x:c r="I97" s="26"/>
      <x:c r="J97" s="26"/>
      <x:c r="K97" s="26"/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</x:row>
    <x:row r="98">
      <x:c r="A98" s="26"/>
      <x:c r="B98" s="26"/>
      <x:c r="C98" s="26"/>
      <x:c r="D98" s="26"/>
      <x:c r="E98" s="26"/>
      <x:c r="F98" s="26"/>
      <x:c r="G98" s="26"/>
      <x:c r="H98" s="26"/>
      <x:c r="I98" s="26"/>
      <x:c r="J98" s="26"/>
      <x:c r="K98" s="26"/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</x:row>
    <x:row r="99">
      <x:c r="A99" s="26"/>
      <x:c r="B99" s="26"/>
      <x:c r="C99" s="26"/>
      <x:c r="D99" s="26"/>
      <x:c r="E99" s="26"/>
      <x:c r="F99" s="26"/>
      <x:c r="G99" s="26"/>
      <x:c r="H99" s="26"/>
      <x:c r="I99" s="26"/>
      <x:c r="J99" s="26"/>
      <x:c r="K99" s="26"/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</x:row>
    <x:row r="100">
      <x:c r="A100" s="26"/>
      <x:c r="B100" s="26"/>
      <x:c r="C100" s="26"/>
      <x:c r="D100" s="26"/>
      <x:c r="E100" s="26"/>
      <x:c r="F100" s="26"/>
      <x:c r="G100" s="26"/>
      <x:c r="H100" s="26"/>
      <x:c r="I100" s="26"/>
      <x:c r="J100" s="26"/>
      <x:c r="K100" s="26"/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</x:row>
    <x:row r="101">
      <x:c r="A101" s="26"/>
      <x:c r="B101" s="26"/>
      <x:c r="C101" s="26"/>
      <x:c r="D101" s="26"/>
      <x:c r="E101" s="26"/>
      <x:c r="F101" s="26"/>
      <x:c r="G101" s="26"/>
      <x:c r="H101" s="26"/>
      <x:c r="I101" s="26"/>
      <x:c r="J101" s="26"/>
      <x:c r="K101" s="26"/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</x:row>
    <x:row r="102">
      <x:c r="A102" s="26"/>
      <x:c r="B102" s="26"/>
      <x:c r="C102" s="26"/>
      <x:c r="D102" s="26"/>
      <x:c r="E102" s="26"/>
      <x:c r="F102" s="26"/>
      <x:c r="G102" s="26"/>
      <x:c r="H102" s="26"/>
      <x:c r="I102" s="26"/>
      <x:c r="J102" s="26"/>
      <x:c r="K102" s="26"/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  <x:c r="Z102" s="26"/>
    </x:row>
    <x:row r="103">
      <x:c r="A103" s="26"/>
      <x:c r="B103" s="26"/>
      <x:c r="C103" s="26"/>
      <x:c r="D103" s="26"/>
      <x:c r="E103" s="26"/>
      <x:c r="F103" s="26"/>
      <x:c r="G103" s="26"/>
      <x:c r="H103" s="26"/>
      <x:c r="I103" s="26"/>
      <x:c r="J103" s="26"/>
      <x:c r="K103" s="26"/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</x:row>
    <x:row r="104">
      <x:c r="A104" s="26"/>
      <x:c r="B104" s="26"/>
      <x:c r="C104" s="26"/>
      <x:c r="D104" s="26"/>
      <x:c r="E104" s="26"/>
      <x:c r="F104" s="26"/>
      <x:c r="G104" s="26"/>
      <x:c r="H104" s="26"/>
      <x:c r="I104" s="26"/>
      <x:c r="J104" s="26"/>
      <x:c r="K104" s="26"/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</x:row>
    <x:row r="105">
      <x:c r="A105" s="26"/>
      <x:c r="B105" s="26"/>
      <x:c r="C105" s="26"/>
      <x:c r="D105" s="26"/>
      <x:c r="E105" s="26"/>
      <x:c r="F105" s="26"/>
      <x:c r="G105" s="26"/>
      <x:c r="H105" s="26"/>
      <x:c r="I105" s="26"/>
      <x:c r="J105" s="26"/>
      <x:c r="K105" s="26"/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</x:row>
    <x:row r="106">
      <x:c r="A106" s="26"/>
      <x:c r="B106" s="26"/>
      <x:c r="C106" s="26"/>
      <x:c r="D106" s="26"/>
      <x:c r="E106" s="26"/>
      <x:c r="F106" s="26"/>
      <x:c r="G106" s="26"/>
      <x:c r="H106" s="26"/>
      <x:c r="I106" s="26"/>
      <x:c r="J106" s="26"/>
      <x:c r="K106" s="26"/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</x:row>
    <x:row r="107">
      <x:c r="A107" s="26"/>
      <x:c r="B107" s="26"/>
      <x:c r="C107" s="26"/>
      <x:c r="D107" s="26"/>
      <x:c r="E107" s="26"/>
      <x:c r="F107" s="26"/>
      <x:c r="G107" s="26"/>
      <x:c r="H107" s="26"/>
      <x:c r="I107" s="26"/>
      <x:c r="J107" s="26"/>
      <x:c r="K107" s="26"/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</x:row>
    <x:row r="108">
      <x:c r="A108" s="26"/>
      <x:c r="B108" s="26"/>
      <x:c r="C108" s="26"/>
      <x:c r="D108" s="26"/>
      <x:c r="E108" s="26"/>
      <x:c r="F108" s="26"/>
      <x:c r="G108" s="26"/>
      <x:c r="H108" s="26"/>
      <x:c r="I108" s="26"/>
      <x:c r="J108" s="26"/>
      <x:c r="K108" s="26"/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</x:row>
    <x:row r="109">
      <x:c r="A109" s="26"/>
      <x:c r="B109" s="26"/>
      <x:c r="C109" s="26"/>
      <x:c r="D109" s="26"/>
      <x:c r="E109" s="26"/>
      <x:c r="F109" s="26"/>
      <x:c r="G109" s="26"/>
      <x:c r="H109" s="26"/>
      <x:c r="I109" s="26"/>
      <x:c r="J109" s="26"/>
      <x:c r="K109" s="26"/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</x:row>
    <x:row r="110">
      <x:c r="A110" s="26"/>
      <x:c r="B110" s="26"/>
      <x:c r="C110" s="26"/>
      <x:c r="D110" s="26"/>
      <x:c r="E110" s="26"/>
      <x:c r="F110" s="26"/>
      <x:c r="G110" s="26"/>
      <x:c r="H110" s="26"/>
      <x:c r="I110" s="26"/>
      <x:c r="J110" s="26"/>
      <x:c r="K110" s="26"/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</x:row>
    <x:row r="111">
      <x:c r="A111" s="26"/>
      <x:c r="B111" s="26"/>
      <x:c r="C111" s="26"/>
      <x:c r="D111" s="26"/>
      <x:c r="E111" s="26"/>
      <x:c r="F111" s="26"/>
      <x:c r="G111" s="26"/>
      <x:c r="H111" s="26"/>
      <x:c r="I111" s="26"/>
      <x:c r="J111" s="26"/>
      <x:c r="K111" s="26"/>
      <x:c r="L111" s="26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/>
      <x:c r="Y111" s="26"/>
      <x:c r="Z111" s="26"/>
    </x:row>
    <x:row r="112">
      <x:c r="A112" s="26"/>
      <x:c r="B112" s="26"/>
      <x:c r="C112" s="26"/>
      <x:c r="D112" s="26"/>
      <x:c r="E112" s="26"/>
      <x:c r="F112" s="26"/>
      <x:c r="G112" s="26"/>
      <x:c r="H112" s="26"/>
      <x:c r="I112" s="26"/>
      <x:c r="J112" s="26"/>
      <x:c r="K112" s="26"/>
      <x:c r="L112" s="26"/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/>
      <x:c r="Z112" s="26"/>
    </x:row>
    <x:row r="113">
      <x:c r="A113" s="26"/>
      <x:c r="B113" s="26"/>
      <x:c r="C113" s="26"/>
      <x:c r="D113" s="26"/>
      <x:c r="E113" s="26"/>
      <x:c r="F113" s="26"/>
      <x:c r="G113" s="26"/>
      <x:c r="H113" s="26"/>
      <x:c r="I113" s="26"/>
      <x:c r="J113" s="26"/>
      <x:c r="K113" s="26"/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6"/>
    </x:row>
    <x:row r="114">
      <x:c r="A114" s="26"/>
      <x:c r="B114" s="26"/>
      <x:c r="C114" s="26"/>
      <x:c r="D114" s="26"/>
      <x:c r="E114" s="26"/>
      <x:c r="F114" s="26"/>
      <x:c r="G114" s="26"/>
      <x:c r="H114" s="26"/>
      <x:c r="I114" s="26"/>
      <x:c r="J114" s="26"/>
      <x:c r="K114" s="26"/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</x:row>
    <x:row r="115">
      <x:c r="A115" s="26"/>
      <x:c r="B115" s="26"/>
      <x:c r="C115" s="26"/>
      <x:c r="D115" s="26"/>
      <x:c r="E115" s="26"/>
      <x:c r="F115" s="26"/>
      <x:c r="G115" s="26"/>
      <x:c r="H115" s="26"/>
      <x:c r="I115" s="26"/>
      <x:c r="J115" s="26"/>
      <x:c r="K115" s="26"/>
      <x:c r="L115" s="26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6"/>
    </x:row>
    <x:row r="116">
      <x:c r="A116" s="26"/>
      <x:c r="B116" s="26"/>
      <x:c r="C116" s="26"/>
      <x:c r="D116" s="26"/>
      <x:c r="E116" s="26"/>
      <x:c r="F116" s="26"/>
      <x:c r="G116" s="26"/>
      <x:c r="H116" s="26"/>
      <x:c r="I116" s="26"/>
      <x:c r="J116" s="26"/>
      <x:c r="K116" s="26"/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</x:row>
    <x:row r="117">
      <x:c r="A117" s="26"/>
      <x:c r="B117" s="26"/>
      <x:c r="C117" s="26"/>
      <x:c r="D117" s="26"/>
      <x:c r="E117" s="26"/>
      <x:c r="F117" s="26"/>
      <x:c r="G117" s="26"/>
      <x:c r="H117" s="26"/>
      <x:c r="I117" s="26"/>
      <x:c r="J117" s="26"/>
      <x:c r="K117" s="26"/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</x:row>
    <x:row r="118">
      <x:c r="A118" s="26"/>
      <x:c r="B118" s="26"/>
      <x:c r="C118" s="26"/>
      <x:c r="D118" s="26"/>
      <x:c r="E118" s="26"/>
      <x:c r="F118" s="26"/>
      <x:c r="G118" s="26"/>
      <x:c r="H118" s="26"/>
      <x:c r="I118" s="26"/>
      <x:c r="J118" s="26"/>
      <x:c r="K118" s="26"/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</x:row>
    <x:row r="119">
      <x:c r="A119" s="26"/>
      <x:c r="B119" s="26"/>
      <x:c r="C119" s="26"/>
      <x:c r="D119" s="26"/>
      <x:c r="E119" s="26"/>
      <x:c r="F119" s="26"/>
      <x:c r="G119" s="26"/>
      <x:c r="H119" s="26"/>
      <x:c r="I119" s="26"/>
      <x:c r="J119" s="26"/>
      <x:c r="K119" s="26"/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</x:row>
    <x:row r="120">
      <x:c r="A120" s="26"/>
      <x:c r="B120" s="26"/>
      <x:c r="C120" s="26"/>
      <x:c r="D120" s="26"/>
      <x:c r="E120" s="26"/>
      <x:c r="F120" s="26"/>
      <x:c r="G120" s="26"/>
      <x:c r="H120" s="26"/>
      <x:c r="I120" s="26"/>
      <x:c r="J120" s="26"/>
      <x:c r="K120" s="26"/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</x:row>
    <x:row r="121">
      <x:c r="A121" s="26"/>
      <x:c r="B121" s="26"/>
      <x:c r="C121" s="26"/>
      <x:c r="D121" s="26"/>
      <x:c r="E121" s="26"/>
      <x:c r="F121" s="26"/>
      <x:c r="G121" s="26"/>
      <x:c r="H121" s="26"/>
      <x:c r="I121" s="26"/>
      <x:c r="J121" s="26"/>
      <x:c r="K121" s="26"/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6"/>
    </x:row>
    <x:row r="122">
      <x:c r="A122" s="26"/>
      <x:c r="B122" s="26"/>
      <x:c r="C122" s="26"/>
      <x:c r="D122" s="26"/>
      <x:c r="E122" s="26"/>
      <x:c r="F122" s="26"/>
      <x:c r="G122" s="26"/>
      <x:c r="H122" s="26"/>
      <x:c r="I122" s="26"/>
      <x:c r="J122" s="26"/>
      <x:c r="K122" s="26"/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6"/>
    </x:row>
    <x:row r="123">
      <x:c r="A123" s="26"/>
      <x:c r="B123" s="26"/>
      <x:c r="C123" s="26"/>
      <x:c r="D123" s="26"/>
      <x:c r="E123" s="26"/>
      <x:c r="F123" s="26"/>
      <x:c r="G123" s="26"/>
      <x:c r="H123" s="26"/>
      <x:c r="I123" s="26"/>
      <x:c r="J123" s="26"/>
      <x:c r="K123" s="26"/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6"/>
    </x:row>
    <x:row r="124">
      <x:c r="A124" s="26"/>
      <x:c r="B124" s="26"/>
      <x:c r="C124" s="26"/>
      <x:c r="D124" s="26"/>
      <x:c r="E124" s="26"/>
      <x:c r="F124" s="26"/>
      <x:c r="G124" s="26"/>
      <x:c r="H124" s="26"/>
      <x:c r="I124" s="26"/>
      <x:c r="J124" s="26"/>
      <x:c r="K124" s="26"/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</x:row>
    <x:row r="125">
      <x:c r="A125" s="26"/>
      <x:c r="B125" s="26"/>
      <x:c r="C125" s="26"/>
      <x:c r="D125" s="26"/>
      <x:c r="E125" s="26"/>
      <x:c r="F125" s="26"/>
      <x:c r="G125" s="26"/>
      <x:c r="H125" s="26"/>
      <x:c r="I125" s="26"/>
      <x:c r="J125" s="26"/>
      <x:c r="K125" s="26"/>
      <x:c r="L125" s="26"/>
      <x:c r="M125" s="26"/>
      <x:c r="N125" s="26"/>
      <x:c r="O125" s="26"/>
      <x:c r="P125" s="26"/>
      <x:c r="Q125" s="26"/>
      <x:c r="R125" s="26"/>
      <x:c r="S125" s="26"/>
      <x:c r="T125" s="26"/>
      <x:c r="U125" s="26"/>
      <x:c r="V125" s="26"/>
      <x:c r="W125" s="26"/>
      <x:c r="X125" s="26"/>
      <x:c r="Y125" s="26"/>
      <x:c r="Z125" s="26"/>
    </x:row>
    <x:row r="126">
      <x:c r="A126" s="26"/>
      <x:c r="B126" s="26"/>
      <x:c r="C126" s="26"/>
      <x:c r="D126" s="26"/>
      <x:c r="E126" s="26"/>
      <x:c r="F126" s="26"/>
      <x:c r="G126" s="26"/>
      <x:c r="H126" s="26"/>
      <x:c r="I126" s="26"/>
      <x:c r="J126" s="26"/>
      <x:c r="K126" s="26"/>
      <x:c r="L126" s="26"/>
      <x:c r="M126" s="26"/>
      <x:c r="N126" s="26"/>
      <x:c r="O126" s="26"/>
      <x:c r="P126" s="26"/>
      <x:c r="Q126" s="26"/>
      <x:c r="R126" s="26"/>
      <x:c r="S126" s="26"/>
      <x:c r="T126" s="26"/>
      <x:c r="U126" s="26"/>
      <x:c r="V126" s="26"/>
      <x:c r="W126" s="26"/>
      <x:c r="X126" s="26"/>
      <x:c r="Y126" s="26"/>
      <x:c r="Z126" s="26"/>
    </x:row>
    <x:row r="127">
      <x:c r="A127" s="26"/>
      <x:c r="B127" s="26"/>
      <x:c r="C127" s="26"/>
      <x:c r="D127" s="26"/>
      <x:c r="E127" s="26"/>
      <x:c r="F127" s="26"/>
      <x:c r="G127" s="26"/>
      <x:c r="H127" s="26"/>
      <x:c r="I127" s="26"/>
      <x:c r="J127" s="26"/>
      <x:c r="K127" s="26"/>
      <x:c r="L127" s="26"/>
      <x:c r="M127" s="26"/>
      <x:c r="N127" s="26"/>
      <x:c r="O127" s="26"/>
      <x:c r="P127" s="26"/>
      <x:c r="Q127" s="26"/>
      <x:c r="R127" s="26"/>
      <x:c r="S127" s="26"/>
      <x:c r="T127" s="26"/>
      <x:c r="U127" s="26"/>
      <x:c r="V127" s="26"/>
      <x:c r="W127" s="26"/>
      <x:c r="X127" s="26"/>
      <x:c r="Y127" s="26"/>
      <x:c r="Z127" s="26"/>
    </x:row>
    <x:row r="128">
      <x:c r="A128" s="26"/>
      <x:c r="B128" s="26"/>
      <x:c r="C128" s="26"/>
      <x:c r="D128" s="26"/>
      <x:c r="E128" s="26"/>
      <x:c r="F128" s="26"/>
      <x:c r="G128" s="26"/>
      <x:c r="H128" s="26"/>
      <x:c r="I128" s="26"/>
      <x:c r="J128" s="26"/>
      <x:c r="K128" s="26"/>
      <x:c r="L128" s="26"/>
      <x:c r="M128" s="26"/>
      <x:c r="N128" s="26"/>
      <x:c r="O128" s="26"/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6"/>
    </x:row>
    <x:row r="129">
      <x:c r="A129" s="26"/>
      <x:c r="B129" s="26"/>
      <x:c r="C129" s="26"/>
      <x:c r="D129" s="26"/>
      <x:c r="E129" s="26"/>
      <x:c r="F129" s="26"/>
      <x:c r="G129" s="26"/>
      <x:c r="H129" s="26"/>
      <x:c r="I129" s="26"/>
      <x:c r="J129" s="26"/>
      <x:c r="K129" s="26"/>
      <x:c r="L129" s="26"/>
      <x:c r="M129" s="26"/>
      <x:c r="N129" s="26"/>
      <x:c r="O129" s="26"/>
      <x:c r="P129" s="26"/>
      <x:c r="Q129" s="26"/>
      <x:c r="R129" s="26"/>
      <x:c r="S129" s="26"/>
      <x:c r="T129" s="26"/>
      <x:c r="U129" s="26"/>
      <x:c r="V129" s="26"/>
      <x:c r="W129" s="26"/>
      <x:c r="X129" s="26"/>
      <x:c r="Y129" s="26"/>
      <x:c r="Z129" s="26"/>
    </x:row>
    <x:row r="130">
      <x:c r="A130" s="26"/>
      <x:c r="B130" s="26"/>
      <x:c r="C130" s="26"/>
      <x:c r="D130" s="26"/>
      <x:c r="E130" s="26"/>
      <x:c r="F130" s="26"/>
      <x:c r="G130" s="26"/>
      <x:c r="H130" s="26"/>
      <x:c r="I130" s="26"/>
      <x:c r="J130" s="26"/>
      <x:c r="K130" s="26"/>
      <x:c r="L130" s="26"/>
      <x:c r="M130" s="26"/>
      <x:c r="N130" s="26"/>
      <x:c r="O130" s="26"/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/>
      <x:c r="Z130" s="26"/>
    </x:row>
    <x:row r="131">
      <x:c r="A131" s="26"/>
      <x:c r="B131" s="26"/>
      <x:c r="C131" s="26"/>
      <x:c r="D131" s="26"/>
      <x:c r="E131" s="26"/>
      <x:c r="F131" s="26"/>
      <x:c r="G131" s="26"/>
      <x:c r="H131" s="26"/>
      <x:c r="I131" s="26"/>
      <x:c r="J131" s="26"/>
      <x:c r="K131" s="26"/>
      <x:c r="L131" s="26"/>
      <x:c r="M131" s="26"/>
      <x:c r="N131" s="26"/>
      <x:c r="O131" s="26"/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6"/>
    </x:row>
    <x:row r="132">
      <x:c r="A132" s="26"/>
      <x:c r="B132" s="26"/>
      <x:c r="C132" s="26"/>
      <x:c r="D132" s="26"/>
      <x:c r="E132" s="26"/>
      <x:c r="F132" s="26"/>
      <x:c r="G132" s="26"/>
      <x:c r="H132" s="26"/>
      <x:c r="I132" s="26"/>
      <x:c r="J132" s="26"/>
      <x:c r="K132" s="26"/>
      <x:c r="L132" s="26"/>
      <x:c r="M132" s="26"/>
      <x:c r="N132" s="26"/>
      <x:c r="O132" s="26"/>
      <x:c r="P132" s="26"/>
      <x:c r="Q132" s="26"/>
      <x:c r="R132" s="26"/>
      <x:c r="S132" s="26"/>
      <x:c r="T132" s="26"/>
      <x:c r="U132" s="26"/>
      <x:c r="V132" s="26"/>
      <x:c r="W132" s="26"/>
      <x:c r="X132" s="26"/>
      <x:c r="Y132" s="26"/>
      <x:c r="Z132" s="26"/>
    </x:row>
    <x:row r="133">
      <x:c r="A133" s="26"/>
      <x:c r="B133" s="26"/>
      <x:c r="C133" s="26"/>
      <x:c r="D133" s="26"/>
      <x:c r="E133" s="26"/>
      <x:c r="F133" s="26"/>
      <x:c r="G133" s="26"/>
      <x:c r="H133" s="26"/>
      <x:c r="I133" s="26"/>
      <x:c r="J133" s="26"/>
      <x:c r="K133" s="26"/>
      <x:c r="L133" s="26"/>
      <x:c r="M133" s="26"/>
      <x:c r="N133" s="26"/>
      <x:c r="O133" s="26"/>
      <x:c r="P133" s="26"/>
      <x:c r="Q133" s="26"/>
      <x:c r="R133" s="26"/>
      <x:c r="S133" s="26"/>
      <x:c r="T133" s="26"/>
      <x:c r="U133" s="26"/>
      <x:c r="V133" s="26"/>
      <x:c r="W133" s="26"/>
      <x:c r="X133" s="26"/>
      <x:c r="Y133" s="26"/>
      <x:c r="Z133" s="26"/>
    </x:row>
    <x:row r="134">
      <x:c r="A134" s="26"/>
      <x:c r="B134" s="26"/>
      <x:c r="C134" s="26"/>
      <x:c r="D134" s="26"/>
      <x:c r="E134" s="26"/>
      <x:c r="F134" s="26"/>
      <x:c r="G134" s="26"/>
      <x:c r="H134" s="26"/>
      <x:c r="I134" s="26"/>
      <x:c r="J134" s="26"/>
      <x:c r="K134" s="26"/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6"/>
    </x:row>
    <x:row r="135">
      <x:c r="A135" s="26"/>
      <x:c r="B135" s="26"/>
      <x:c r="C135" s="26"/>
      <x:c r="D135" s="26"/>
      <x:c r="E135" s="26"/>
      <x:c r="F135" s="26"/>
      <x:c r="G135" s="26"/>
      <x:c r="H135" s="26"/>
      <x:c r="I135" s="26"/>
      <x:c r="J135" s="26"/>
      <x:c r="K135" s="26"/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</x:row>
    <x:row r="136">
      <x:c r="A136" s="26"/>
      <x:c r="B136" s="26"/>
      <x:c r="C136" s="26"/>
      <x:c r="D136" s="26"/>
      <x:c r="E136" s="26"/>
      <x:c r="F136" s="26"/>
      <x:c r="G136" s="26"/>
      <x:c r="H136" s="26"/>
      <x:c r="I136" s="26"/>
      <x:c r="J136" s="26"/>
      <x:c r="K136" s="26"/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</x:row>
    <x:row r="137">
      <x:c r="A137" s="26"/>
      <x:c r="B137" s="26"/>
      <x:c r="C137" s="26"/>
      <x:c r="D137" s="26"/>
      <x:c r="E137" s="26"/>
      <x:c r="F137" s="26"/>
      <x:c r="G137" s="26"/>
      <x:c r="H137" s="26"/>
      <x:c r="I137" s="26"/>
      <x:c r="J137" s="26"/>
      <x:c r="K137" s="26"/>
      <x:c r="L137" s="26"/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</x:row>
    <x:row r="138">
      <x:c r="A138" s="26"/>
      <x:c r="B138" s="26"/>
      <x:c r="C138" s="26"/>
      <x:c r="D138" s="26"/>
      <x:c r="E138" s="26"/>
      <x:c r="F138" s="26"/>
      <x:c r="G138" s="26"/>
      <x:c r="H138" s="26"/>
      <x:c r="I138" s="26"/>
      <x:c r="J138" s="26"/>
      <x:c r="K138" s="26"/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</x:row>
    <x:row r="139">
      <x:c r="A139" s="26"/>
      <x:c r="B139" s="26"/>
      <x:c r="C139" s="26"/>
      <x:c r="D139" s="26"/>
      <x:c r="E139" s="26"/>
      <x:c r="F139" s="26"/>
      <x:c r="G139" s="26"/>
      <x:c r="H139" s="26"/>
      <x:c r="I139" s="26"/>
      <x:c r="J139" s="26"/>
      <x:c r="K139" s="26"/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</x:row>
    <x:row r="140">
      <x:c r="A140" s="26"/>
      <x:c r="B140" s="26"/>
      <x:c r="C140" s="26"/>
      <x:c r="D140" s="26"/>
      <x:c r="E140" s="26"/>
      <x:c r="F140" s="26"/>
      <x:c r="G140" s="26"/>
      <x:c r="H140" s="26"/>
      <x:c r="I140" s="26"/>
      <x:c r="J140" s="26"/>
      <x:c r="K140" s="26"/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</x:row>
    <x:row r="141">
      <x:c r="A141" s="26"/>
      <x:c r="B141" s="26"/>
      <x:c r="C141" s="26"/>
      <x:c r="D141" s="26"/>
      <x:c r="E141" s="26"/>
      <x:c r="F141" s="26"/>
      <x:c r="G141" s="26"/>
      <x:c r="H141" s="26"/>
      <x:c r="I141" s="26"/>
      <x:c r="J141" s="26"/>
      <x:c r="K141" s="26"/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</x:row>
    <x:row r="142">
      <x:c r="A142" s="26"/>
      <x:c r="B142" s="26"/>
      <x:c r="C142" s="26"/>
      <x:c r="D142" s="26"/>
      <x:c r="E142" s="26"/>
      <x:c r="F142" s="26"/>
      <x:c r="G142" s="26"/>
      <x:c r="H142" s="26"/>
      <x:c r="I142" s="26"/>
      <x:c r="J142" s="26"/>
      <x:c r="K142" s="26"/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/>
      <x:c r="Z142" s="26"/>
    </x:row>
    <x:row r="143">
      <x:c r="A143" s="26"/>
      <x:c r="B143" s="26"/>
      <x:c r="C143" s="26"/>
      <x:c r="D143" s="26"/>
      <x:c r="E143" s="26"/>
      <x:c r="F143" s="26"/>
      <x:c r="G143" s="26"/>
      <x:c r="H143" s="26"/>
      <x:c r="I143" s="26"/>
      <x:c r="J143" s="26"/>
      <x:c r="K143" s="26"/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</x:row>
    <x:row r="144">
      <x:c r="A144" s="26"/>
      <x:c r="B144" s="26"/>
      <x:c r="C144" s="26"/>
      <x:c r="D144" s="26"/>
      <x:c r="E144" s="26"/>
      <x:c r="F144" s="26"/>
      <x:c r="G144" s="26"/>
      <x:c r="H144" s="26"/>
      <x:c r="I144" s="26"/>
      <x:c r="J144" s="26"/>
      <x:c r="K144" s="26"/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</x:row>
    <x:row r="145">
      <x:c r="A145" s="26"/>
      <x:c r="B145" s="26"/>
      <x:c r="C145" s="26"/>
      <x:c r="D145" s="26"/>
      <x:c r="E145" s="26"/>
      <x:c r="F145" s="26"/>
      <x:c r="G145" s="26"/>
      <x:c r="H145" s="26"/>
      <x:c r="I145" s="26"/>
      <x:c r="J145" s="26"/>
      <x:c r="K145" s="26"/>
      <x:c r="L145" s="26"/>
      <x:c r="M145" s="26"/>
      <x:c r="N145" s="26"/>
      <x:c r="O145" s="26"/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6"/>
    </x:row>
    <x:row r="146">
      <x:c r="A146" s="26"/>
      <x:c r="B146" s="26"/>
      <x:c r="C146" s="26"/>
      <x:c r="D146" s="26"/>
      <x:c r="E146" s="26"/>
      <x:c r="F146" s="26"/>
      <x:c r="G146" s="26"/>
      <x:c r="H146" s="26"/>
      <x:c r="I146" s="26"/>
      <x:c r="J146" s="26"/>
      <x:c r="K146" s="26"/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6"/>
    </x:row>
    <x:row r="147">
      <x:c r="A147" s="26"/>
      <x:c r="B147" s="26"/>
      <x:c r="C147" s="26"/>
      <x:c r="D147" s="26"/>
      <x:c r="E147" s="26"/>
      <x:c r="F147" s="26"/>
      <x:c r="G147" s="26"/>
      <x:c r="H147" s="26"/>
      <x:c r="I147" s="26"/>
      <x:c r="J147" s="26"/>
      <x:c r="K147" s="26"/>
      <x:c r="L147" s="26"/>
      <x:c r="M147" s="26"/>
      <x:c r="N147" s="26"/>
      <x:c r="O147" s="26"/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6"/>
    </x:row>
    <x:row r="148">
      <x:c r="A148" s="26"/>
      <x:c r="B148" s="26"/>
      <x:c r="C148" s="26"/>
      <x:c r="D148" s="26"/>
      <x:c r="E148" s="26"/>
      <x:c r="F148" s="26"/>
      <x:c r="G148" s="26"/>
      <x:c r="H148" s="26"/>
      <x:c r="I148" s="26"/>
      <x:c r="J148" s="26"/>
      <x:c r="K148" s="26"/>
      <x:c r="L148" s="26"/>
      <x:c r="M148" s="26"/>
      <x:c r="N148" s="26"/>
      <x:c r="O148" s="26"/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6"/>
    </x:row>
    <x:row r="149">
      <x:c r="A149" s="26"/>
      <x:c r="B149" s="26"/>
      <x:c r="C149" s="26"/>
      <x:c r="D149" s="26"/>
      <x:c r="E149" s="26"/>
      <x:c r="F149" s="26"/>
      <x:c r="G149" s="26"/>
      <x:c r="H149" s="26"/>
      <x:c r="I149" s="26"/>
      <x:c r="J149" s="26"/>
      <x:c r="K149" s="26"/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6"/>
    </x:row>
    <x:row r="150">
      <x:c r="A150" s="26"/>
      <x:c r="B150" s="26"/>
      <x:c r="C150" s="26"/>
      <x:c r="D150" s="26"/>
      <x:c r="E150" s="26"/>
      <x:c r="F150" s="26"/>
      <x:c r="G150" s="26"/>
      <x:c r="H150" s="26"/>
      <x:c r="I150" s="26"/>
      <x:c r="J150" s="26"/>
      <x:c r="K150" s="26"/>
      <x:c r="L150" s="26"/>
      <x:c r="M150" s="26"/>
      <x:c r="N150" s="26"/>
      <x:c r="O150" s="26"/>
      <x:c r="P150" s="26"/>
      <x:c r="Q150" s="26"/>
      <x:c r="R150" s="26"/>
      <x:c r="S150" s="26"/>
      <x:c r="T150" s="26"/>
      <x:c r="U150" s="26"/>
      <x:c r="V150" s="26"/>
      <x:c r="W150" s="26"/>
      <x:c r="X150" s="26"/>
      <x:c r="Y150" s="26"/>
      <x:c r="Z150" s="26"/>
    </x:row>
    <x:row r="151">
      <x:c r="A151" s="26"/>
      <x:c r="B151" s="26"/>
      <x:c r="C151" s="26"/>
      <x:c r="D151" s="26"/>
      <x:c r="E151" s="26"/>
      <x:c r="F151" s="26"/>
      <x:c r="G151" s="26"/>
      <x:c r="H151" s="26"/>
      <x:c r="I151" s="26"/>
      <x:c r="J151" s="26"/>
      <x:c r="K151" s="26"/>
      <x:c r="L151" s="26"/>
      <x:c r="M151" s="26"/>
      <x:c r="N151" s="26"/>
      <x:c r="O151" s="26"/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/>
      <x:c r="Z151" s="26"/>
    </x:row>
    <x:row r="152">
      <x:c r="A152" s="26"/>
      <x:c r="B152" s="26"/>
      <x:c r="C152" s="26"/>
      <x:c r="D152" s="26"/>
      <x:c r="E152" s="26"/>
      <x:c r="F152" s="26"/>
      <x:c r="G152" s="26"/>
      <x:c r="H152" s="26"/>
      <x:c r="I152" s="26"/>
      <x:c r="J152" s="26"/>
      <x:c r="K152" s="26"/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/>
      <x:c r="W152" s="26"/>
      <x:c r="X152" s="26"/>
      <x:c r="Y152" s="26"/>
      <x:c r="Z152" s="26"/>
    </x:row>
    <x:row r="153">
      <x:c r="A153" s="26"/>
      <x:c r="B153" s="26"/>
      <x:c r="C153" s="26"/>
      <x:c r="D153" s="26"/>
      <x:c r="E153" s="26"/>
      <x:c r="F153" s="26"/>
      <x:c r="G153" s="26"/>
      <x:c r="H153" s="26"/>
      <x:c r="I153" s="26"/>
      <x:c r="J153" s="26"/>
      <x:c r="K153" s="26"/>
      <x:c r="L153" s="26"/>
      <x:c r="M153" s="26"/>
      <x:c r="N153" s="26"/>
      <x:c r="O153" s="26"/>
      <x:c r="P153" s="26"/>
      <x:c r="Q153" s="26"/>
      <x:c r="R153" s="26"/>
      <x:c r="S153" s="26"/>
      <x:c r="T153" s="26"/>
      <x:c r="U153" s="26"/>
      <x:c r="V153" s="26"/>
      <x:c r="W153" s="26"/>
      <x:c r="X153" s="26"/>
      <x:c r="Y153" s="26"/>
      <x:c r="Z153" s="26"/>
    </x:row>
    <x:row r="154">
      <x:c r="A154" s="26"/>
      <x:c r="B154" s="26"/>
      <x:c r="C154" s="26"/>
      <x:c r="D154" s="26"/>
      <x:c r="E154" s="26"/>
      <x:c r="F154" s="26"/>
      <x:c r="G154" s="26"/>
      <x:c r="H154" s="26"/>
      <x:c r="I154" s="26"/>
      <x:c r="J154" s="26"/>
      <x:c r="K154" s="26"/>
      <x:c r="L154" s="26"/>
      <x:c r="M154" s="26"/>
      <x:c r="N154" s="26"/>
      <x:c r="O154" s="26"/>
      <x:c r="P154" s="26"/>
      <x:c r="Q154" s="26"/>
      <x:c r="R154" s="26"/>
      <x:c r="S154" s="26"/>
      <x:c r="T154" s="26"/>
      <x:c r="U154" s="26"/>
      <x:c r="V154" s="26"/>
      <x:c r="W154" s="26"/>
      <x:c r="X154" s="26"/>
      <x:c r="Y154" s="26"/>
      <x:c r="Z154" s="26"/>
    </x:row>
    <x:row r="155">
      <x:c r="A155" s="26"/>
      <x:c r="B155" s="26"/>
      <x:c r="C155" s="26"/>
      <x:c r="D155" s="26"/>
      <x:c r="E155" s="26"/>
      <x:c r="F155" s="26"/>
      <x:c r="G155" s="26"/>
      <x:c r="H155" s="26"/>
      <x:c r="I155" s="26"/>
      <x:c r="J155" s="26"/>
      <x:c r="K155" s="26"/>
      <x:c r="L155" s="26"/>
      <x:c r="M155" s="26"/>
      <x:c r="N155" s="26"/>
      <x:c r="O155" s="26"/>
      <x:c r="P155" s="26"/>
      <x:c r="Q155" s="26"/>
      <x:c r="R155" s="26"/>
      <x:c r="S155" s="26"/>
      <x:c r="T155" s="26"/>
      <x:c r="U155" s="26"/>
      <x:c r="V155" s="26"/>
      <x:c r="W155" s="26"/>
      <x:c r="X155" s="26"/>
      <x:c r="Y155" s="26"/>
      <x:c r="Z155" s="26"/>
    </x:row>
    <x:row r="156">
      <x:c r="A156" s="26"/>
      <x:c r="B156" s="26"/>
      <x:c r="C156" s="26"/>
      <x:c r="D156" s="26"/>
      <x:c r="E156" s="26"/>
      <x:c r="F156" s="26"/>
      <x:c r="G156" s="26"/>
      <x:c r="H156" s="26"/>
      <x:c r="I156" s="26"/>
      <x:c r="J156" s="26"/>
      <x:c r="K156" s="26"/>
      <x:c r="L156" s="26"/>
      <x:c r="M156" s="26"/>
      <x:c r="N156" s="26"/>
      <x:c r="O156" s="26"/>
      <x:c r="P156" s="26"/>
      <x:c r="Q156" s="26"/>
      <x:c r="R156" s="26"/>
      <x:c r="S156" s="26"/>
      <x:c r="T156" s="26"/>
      <x:c r="U156" s="26"/>
      <x:c r="V156" s="26"/>
      <x:c r="W156" s="26"/>
      <x:c r="X156" s="26"/>
      <x:c r="Y156" s="26"/>
      <x:c r="Z156" s="26"/>
    </x:row>
    <x:row r="157">
      <x:c r="A157" s="26"/>
      <x:c r="B157" s="26"/>
      <x:c r="C157" s="26"/>
      <x:c r="D157" s="26"/>
      <x:c r="E157" s="26"/>
      <x:c r="F157" s="26"/>
      <x:c r="G157" s="26"/>
      <x:c r="H157" s="26"/>
      <x:c r="I157" s="26"/>
      <x:c r="J157" s="26"/>
      <x:c r="K157" s="26"/>
      <x:c r="L157" s="26"/>
      <x:c r="M157" s="26"/>
      <x:c r="N157" s="26"/>
      <x:c r="O157" s="26"/>
      <x:c r="P157" s="26"/>
      <x:c r="Q157" s="26"/>
      <x:c r="R157" s="26"/>
      <x:c r="S157" s="26"/>
      <x:c r="T157" s="26"/>
      <x:c r="U157" s="26"/>
      <x:c r="V157" s="26"/>
      <x:c r="W157" s="26"/>
      <x:c r="X157" s="26"/>
      <x:c r="Y157" s="26"/>
      <x:c r="Z157" s="26"/>
    </x:row>
    <x:row r="158">
      <x:c r="A158" s="26"/>
      <x:c r="B158" s="26"/>
      <x:c r="C158" s="26"/>
      <x:c r="D158" s="26"/>
      <x:c r="E158" s="26"/>
      <x:c r="F158" s="26"/>
      <x:c r="G158" s="26"/>
      <x:c r="H158" s="26"/>
      <x:c r="I158" s="26"/>
      <x:c r="J158" s="26"/>
      <x:c r="K158" s="26"/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</x:row>
    <x:row r="159">
      <x:c r="A159" s="26"/>
      <x:c r="B159" s="26"/>
      <x:c r="C159" s="26"/>
      <x:c r="D159" s="26"/>
      <x:c r="E159" s="26"/>
      <x:c r="F159" s="26"/>
      <x:c r="G159" s="26"/>
      <x:c r="H159" s="26"/>
      <x:c r="I159" s="26"/>
      <x:c r="J159" s="26"/>
      <x:c r="K159" s="26"/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</x:row>
    <x:row r="160">
      <x:c r="A160" s="26"/>
      <x:c r="B160" s="26"/>
      <x:c r="C160" s="26"/>
      <x:c r="D160" s="26"/>
      <x:c r="E160" s="26"/>
      <x:c r="F160" s="26"/>
      <x:c r="G160" s="26"/>
      <x:c r="H160" s="26"/>
      <x:c r="I160" s="26"/>
      <x:c r="J160" s="26"/>
      <x:c r="K160" s="26"/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</x:row>
    <x:row r="161">
      <x:c r="A161" s="26"/>
      <x:c r="B161" s="26"/>
      <x:c r="C161" s="26"/>
      <x:c r="D161" s="26"/>
      <x:c r="E161" s="26"/>
      <x:c r="F161" s="26"/>
      <x:c r="G161" s="26"/>
      <x:c r="H161" s="26"/>
      <x:c r="I161" s="26"/>
      <x:c r="J161" s="26"/>
      <x:c r="K161" s="26"/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</x:row>
    <x:row r="162">
      <x:c r="A162" s="26"/>
      <x:c r="B162" s="26"/>
      <x:c r="C162" s="26"/>
      <x:c r="D162" s="26"/>
      <x:c r="E162" s="26"/>
      <x:c r="F162" s="26"/>
      <x:c r="G162" s="26"/>
      <x:c r="H162" s="26"/>
      <x:c r="I162" s="26"/>
      <x:c r="J162" s="26"/>
      <x:c r="K162" s="26"/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</x:row>
    <x:row r="163">
      <x:c r="A163" s="26"/>
      <x:c r="B163" s="26"/>
      <x:c r="C163" s="26"/>
      <x:c r="D163" s="26"/>
      <x:c r="E163" s="26"/>
      <x:c r="F163" s="26"/>
      <x:c r="G163" s="26"/>
      <x:c r="H163" s="26"/>
      <x:c r="I163" s="26"/>
      <x:c r="J163" s="26"/>
      <x:c r="K163" s="26"/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</x:row>
    <x:row r="164">
      <x:c r="A164" s="26"/>
      <x:c r="B164" s="26"/>
      <x:c r="C164" s="26"/>
      <x:c r="D164" s="26"/>
      <x:c r="E164" s="26"/>
      <x:c r="F164" s="26"/>
      <x:c r="G164" s="26"/>
      <x:c r="H164" s="26"/>
      <x:c r="I164" s="26"/>
      <x:c r="J164" s="26"/>
      <x:c r="K164" s="26"/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</x:row>
    <x:row r="165">
      <x:c r="A165" s="26"/>
      <x:c r="B165" s="26"/>
      <x:c r="C165" s="26"/>
      <x:c r="D165" s="26"/>
      <x:c r="E165" s="26"/>
      <x:c r="F165" s="26"/>
      <x:c r="G165" s="26"/>
      <x:c r="H165" s="26"/>
      <x:c r="I165" s="26"/>
      <x:c r="J165" s="26"/>
      <x:c r="K165" s="26"/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</x:row>
    <x:row r="166">
      <x:c r="A166" s="26"/>
      <x:c r="B166" s="26"/>
      <x:c r="C166" s="26"/>
      <x:c r="D166" s="26"/>
      <x:c r="E166" s="26"/>
      <x:c r="F166" s="26"/>
      <x:c r="G166" s="26"/>
      <x:c r="H166" s="26"/>
      <x:c r="I166" s="26"/>
      <x:c r="J166" s="26"/>
      <x:c r="K166" s="26"/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</x:row>
    <x:row r="167">
      <x:c r="A167" s="26"/>
      <x:c r="B167" s="26"/>
      <x:c r="C167" s="26"/>
      <x:c r="D167" s="26"/>
      <x:c r="E167" s="26"/>
      <x:c r="F167" s="26"/>
      <x:c r="G167" s="26"/>
      <x:c r="H167" s="26"/>
      <x:c r="I167" s="26"/>
      <x:c r="J167" s="26"/>
      <x:c r="K167" s="26"/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</x:row>
    <x:row r="168">
      <x:c r="A168" s="26"/>
      <x:c r="B168" s="26"/>
      <x:c r="C168" s="26"/>
      <x:c r="D168" s="26"/>
      <x:c r="E168" s="26"/>
      <x:c r="F168" s="26"/>
      <x:c r="G168" s="26"/>
      <x:c r="H168" s="26"/>
      <x:c r="I168" s="26"/>
      <x:c r="J168" s="26"/>
      <x:c r="K168" s="26"/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</x:row>
    <x:row r="169">
      <x:c r="A169" s="26"/>
      <x:c r="B169" s="26"/>
      <x:c r="C169" s="26"/>
      <x:c r="D169" s="26"/>
      <x:c r="E169" s="26"/>
      <x:c r="F169" s="26"/>
      <x:c r="G169" s="26"/>
      <x:c r="H169" s="26"/>
      <x:c r="I169" s="26"/>
      <x:c r="J169" s="26"/>
      <x:c r="K169" s="26"/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</x:row>
    <x:row r="170">
      <x:c r="A170" s="26"/>
      <x:c r="B170" s="26"/>
      <x:c r="C170" s="26"/>
      <x:c r="D170" s="26"/>
      <x:c r="E170" s="26"/>
      <x:c r="F170" s="26"/>
      <x:c r="G170" s="26"/>
      <x:c r="H170" s="26"/>
      <x:c r="I170" s="26"/>
      <x:c r="J170" s="26"/>
      <x:c r="K170" s="26"/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</x:row>
    <x:row r="171">
      <x:c r="A171" s="26"/>
      <x:c r="B171" s="26"/>
      <x:c r="C171" s="26"/>
      <x:c r="D171" s="26"/>
      <x:c r="E171" s="26"/>
      <x:c r="F171" s="26"/>
      <x:c r="G171" s="26"/>
      <x:c r="H171" s="26"/>
      <x:c r="I171" s="26"/>
      <x:c r="J171" s="26"/>
      <x:c r="K171" s="26"/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</x:row>
    <x:row r="172">
      <x:c r="A172" s="26"/>
      <x:c r="B172" s="26"/>
      <x:c r="C172" s="26"/>
      <x:c r="D172" s="26"/>
      <x:c r="E172" s="26"/>
      <x:c r="F172" s="26"/>
      <x:c r="G172" s="26"/>
      <x:c r="H172" s="26"/>
      <x:c r="I172" s="26"/>
      <x:c r="J172" s="26"/>
      <x:c r="K172" s="26"/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</x:row>
    <x:row r="173">
      <x:c r="A173" s="26"/>
      <x:c r="B173" s="26"/>
      <x:c r="C173" s="26"/>
      <x:c r="D173" s="26"/>
      <x:c r="E173" s="26"/>
      <x:c r="F173" s="26"/>
      <x:c r="G173" s="26"/>
      <x:c r="H173" s="26"/>
      <x:c r="I173" s="26"/>
      <x:c r="J173" s="26"/>
      <x:c r="K173" s="26"/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</x:row>
    <x:row r="174">
      <x:c r="A174" s="26"/>
      <x:c r="B174" s="26"/>
      <x:c r="C174" s="26"/>
      <x:c r="D174" s="26"/>
      <x:c r="E174" s="26"/>
      <x:c r="F174" s="26"/>
      <x:c r="G174" s="26"/>
      <x:c r="H174" s="26"/>
      <x:c r="I174" s="26"/>
      <x:c r="J174" s="26"/>
      <x:c r="K174" s="26"/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</x:row>
    <x:row r="175">
      <x:c r="A175" s="26"/>
      <x:c r="B175" s="26"/>
      <x:c r="C175" s="26"/>
      <x:c r="D175" s="26"/>
      <x:c r="E175" s="26"/>
      <x:c r="F175" s="26"/>
      <x:c r="G175" s="26"/>
      <x:c r="H175" s="26"/>
      <x:c r="I175" s="26"/>
      <x:c r="J175" s="26"/>
      <x:c r="K175" s="26"/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</x:row>
    <x:row r="176">
      <x:c r="A176" s="26"/>
      <x:c r="B176" s="26"/>
      <x:c r="C176" s="26"/>
      <x:c r="D176" s="26"/>
      <x:c r="E176" s="26"/>
      <x:c r="F176" s="26"/>
      <x:c r="G176" s="26"/>
      <x:c r="H176" s="26"/>
      <x:c r="I176" s="26"/>
      <x:c r="J176" s="26"/>
      <x:c r="K176" s="26"/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</x:row>
    <x:row r="177">
      <x:c r="A177" s="26"/>
      <x:c r="B177" s="26"/>
      <x:c r="C177" s="26"/>
      <x:c r="D177" s="26"/>
      <x:c r="E177" s="26"/>
      <x:c r="F177" s="26"/>
      <x:c r="G177" s="26"/>
      <x:c r="H177" s="26"/>
      <x:c r="I177" s="26"/>
      <x:c r="J177" s="26"/>
      <x:c r="K177" s="26"/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</x:row>
    <x:row r="178">
      <x:c r="A178" s="26"/>
      <x:c r="B178" s="26"/>
      <x:c r="C178" s="26"/>
      <x:c r="D178" s="26"/>
      <x:c r="E178" s="26"/>
      <x:c r="F178" s="26"/>
      <x:c r="G178" s="26"/>
      <x:c r="H178" s="26"/>
      <x:c r="I178" s="26"/>
      <x:c r="J178" s="26"/>
      <x:c r="K178" s="26"/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</x:row>
    <x:row r="179">
      <x:c r="A179" s="26"/>
      <x:c r="B179" s="26"/>
      <x:c r="C179" s="26"/>
      <x:c r="D179" s="26"/>
      <x:c r="E179" s="26"/>
      <x:c r="F179" s="26"/>
      <x:c r="G179" s="26"/>
      <x:c r="H179" s="26"/>
      <x:c r="I179" s="26"/>
      <x:c r="J179" s="26"/>
      <x:c r="K179" s="26"/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</x:row>
    <x:row r="180">
      <x:c r="A180" s="26"/>
      <x:c r="B180" s="26"/>
      <x:c r="C180" s="26"/>
      <x:c r="D180" s="26"/>
      <x:c r="E180" s="26"/>
      <x:c r="F180" s="26"/>
      <x:c r="G180" s="26"/>
      <x:c r="H180" s="26"/>
      <x:c r="I180" s="26"/>
      <x:c r="J180" s="26"/>
      <x:c r="K180" s="26"/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</x:row>
    <x:row r="181">
      <x:c r="A181" s="26"/>
      <x:c r="B181" s="26"/>
      <x:c r="C181" s="26"/>
      <x:c r="D181" s="26"/>
      <x:c r="E181" s="26"/>
      <x:c r="F181" s="26"/>
      <x:c r="G181" s="26"/>
      <x:c r="H181" s="26"/>
      <x:c r="I181" s="26"/>
      <x:c r="J181" s="26"/>
      <x:c r="K181" s="26"/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</x:row>
    <x:row r="182">
      <x:c r="A182" s="26"/>
      <x:c r="B182" s="26"/>
      <x:c r="C182" s="26"/>
      <x:c r="D182" s="26"/>
      <x:c r="E182" s="26"/>
      <x:c r="F182" s="26"/>
      <x:c r="G182" s="26"/>
      <x:c r="H182" s="26"/>
      <x:c r="I182" s="26"/>
      <x:c r="J182" s="26"/>
      <x:c r="K182" s="26"/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</x:row>
    <x:row r="183">
      <x:c r="A183" s="26"/>
      <x:c r="B183" s="26"/>
      <x:c r="C183" s="26"/>
      <x:c r="D183" s="26"/>
      <x:c r="E183" s="26"/>
      <x:c r="F183" s="26"/>
      <x:c r="G183" s="26"/>
      <x:c r="H183" s="26"/>
      <x:c r="I183" s="26"/>
      <x:c r="J183" s="26"/>
      <x:c r="K183" s="26"/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</x:row>
    <x:row r="184">
      <x:c r="A184" s="26"/>
      <x:c r="B184" s="26"/>
      <x:c r="C184" s="26"/>
      <x:c r="D184" s="26"/>
      <x:c r="E184" s="26"/>
      <x:c r="F184" s="26"/>
      <x:c r="G184" s="26"/>
      <x:c r="H184" s="26"/>
      <x:c r="I184" s="26"/>
      <x:c r="J184" s="26"/>
      <x:c r="K184" s="26"/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</x:row>
    <x:row r="185">
      <x:c r="A185" s="26"/>
      <x:c r="B185" s="26"/>
      <x:c r="C185" s="26"/>
      <x:c r="D185" s="26"/>
      <x:c r="E185" s="26"/>
      <x:c r="F185" s="26"/>
      <x:c r="G185" s="26"/>
      <x:c r="H185" s="26"/>
      <x:c r="I185" s="26"/>
      <x:c r="J185" s="26"/>
      <x:c r="K185" s="26"/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</x:row>
    <x:row r="186">
      <x:c r="A186" s="26"/>
      <x:c r="B186" s="26"/>
      <x:c r="C186" s="26"/>
      <x:c r="D186" s="26"/>
      <x:c r="E186" s="26"/>
      <x:c r="F186" s="26"/>
      <x:c r="G186" s="26"/>
      <x:c r="H186" s="26"/>
      <x:c r="I186" s="26"/>
      <x:c r="J186" s="26"/>
      <x:c r="K186" s="26"/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</x:row>
    <x:row r="187">
      <x:c r="A187" s="26"/>
      <x:c r="B187" s="26"/>
      <x:c r="C187" s="26"/>
      <x:c r="D187" s="26"/>
      <x:c r="E187" s="26"/>
      <x:c r="F187" s="26"/>
      <x:c r="G187" s="26"/>
      <x:c r="H187" s="26"/>
      <x:c r="I187" s="26"/>
      <x:c r="J187" s="26"/>
      <x:c r="K187" s="26"/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</x:row>
    <x:row r="188">
      <x:c r="A188" s="26"/>
      <x:c r="B188" s="26"/>
      <x:c r="C188" s="26"/>
      <x:c r="D188" s="26"/>
      <x:c r="E188" s="26"/>
      <x:c r="F188" s="26"/>
      <x:c r="G188" s="26"/>
      <x:c r="H188" s="26"/>
      <x:c r="I188" s="26"/>
      <x:c r="J188" s="26"/>
      <x:c r="K188" s="26"/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</x:row>
    <x:row r="189">
      <x:c r="A189" s="26"/>
      <x:c r="B189" s="26"/>
      <x:c r="C189" s="26"/>
      <x:c r="D189" s="26"/>
      <x:c r="E189" s="26"/>
      <x:c r="F189" s="26"/>
      <x:c r="G189" s="26"/>
      <x:c r="H189" s="26"/>
      <x:c r="I189" s="26"/>
      <x:c r="J189" s="26"/>
      <x:c r="K189" s="26"/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</x:row>
    <x:row r="190">
      <x:c r="A190" s="26"/>
      <x:c r="B190" s="26"/>
      <x:c r="C190" s="26"/>
      <x:c r="D190" s="26"/>
      <x:c r="E190" s="26"/>
      <x:c r="F190" s="26"/>
      <x:c r="G190" s="26"/>
      <x:c r="H190" s="26"/>
      <x:c r="I190" s="26"/>
      <x:c r="J190" s="26"/>
      <x:c r="K190" s="26"/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</x:row>
    <x:row r="191">
      <x:c r="A191" s="26"/>
      <x:c r="B191" s="26"/>
      <x:c r="C191" s="26"/>
      <x:c r="D191" s="26"/>
      <x:c r="E191" s="26"/>
      <x:c r="F191" s="26"/>
      <x:c r="G191" s="26"/>
      <x:c r="H191" s="26"/>
      <x:c r="I191" s="26"/>
      <x:c r="J191" s="26"/>
      <x:c r="K191" s="26"/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</x:row>
    <x:row r="192">
      <x:c r="A192" s="26"/>
      <x:c r="B192" s="26"/>
      <x:c r="C192" s="26"/>
      <x:c r="D192" s="26"/>
      <x:c r="E192" s="26"/>
      <x:c r="F192" s="26"/>
      <x:c r="G192" s="26"/>
      <x:c r="H192" s="26"/>
      <x:c r="I192" s="26"/>
      <x:c r="J192" s="26"/>
      <x:c r="K192" s="26"/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</x:row>
    <x:row r="193">
      <x:c r="A193" s="26"/>
      <x:c r="B193" s="26"/>
      <x:c r="C193" s="26"/>
      <x:c r="D193" s="26"/>
      <x:c r="E193" s="26"/>
      <x:c r="F193" s="26"/>
      <x:c r="G193" s="26"/>
      <x:c r="H193" s="26"/>
      <x:c r="I193" s="26"/>
      <x:c r="J193" s="26"/>
      <x:c r="K193" s="26"/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</x:row>
    <x:row r="194">
      <x:c r="A194" s="26"/>
      <x:c r="B194" s="26"/>
      <x:c r="C194" s="26"/>
      <x:c r="D194" s="26"/>
      <x:c r="E194" s="26"/>
      <x:c r="F194" s="26"/>
      <x:c r="G194" s="26"/>
      <x:c r="H194" s="26"/>
      <x:c r="I194" s="26"/>
      <x:c r="J194" s="26"/>
      <x:c r="K194" s="26"/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</x:row>
    <x:row r="195">
      <x:c r="A195" s="26"/>
      <x:c r="B195" s="26"/>
      <x:c r="C195" s="26"/>
      <x:c r="D195" s="26"/>
      <x:c r="E195" s="26"/>
      <x:c r="F195" s="26"/>
      <x:c r="G195" s="26"/>
      <x:c r="H195" s="26"/>
      <x:c r="I195" s="26"/>
      <x:c r="J195" s="26"/>
      <x:c r="K195" s="26"/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</x:row>
    <x:row r="196">
      <x:c r="A196" s="26"/>
      <x:c r="B196" s="26"/>
      <x:c r="C196" s="26"/>
      <x:c r="D196" s="26"/>
      <x:c r="E196" s="26"/>
      <x:c r="F196" s="26"/>
      <x:c r="G196" s="26"/>
      <x:c r="H196" s="26"/>
      <x:c r="I196" s="26"/>
      <x:c r="J196" s="26"/>
      <x:c r="K196" s="26"/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</x:row>
    <x:row r="197">
      <x:c r="A197" s="26"/>
      <x:c r="B197" s="26"/>
      <x:c r="C197" s="26"/>
      <x:c r="D197" s="26"/>
      <x:c r="E197" s="26"/>
      <x:c r="F197" s="26"/>
      <x:c r="G197" s="26"/>
      <x:c r="H197" s="26"/>
      <x:c r="I197" s="26"/>
      <x:c r="J197" s="26"/>
      <x:c r="K197" s="26"/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</x:row>
    <x:row r="198">
      <x:c r="A198" s="26"/>
      <x:c r="B198" s="26"/>
      <x:c r="C198" s="26"/>
      <x:c r="D198" s="26"/>
      <x:c r="E198" s="26"/>
      <x:c r="F198" s="26"/>
      <x:c r="G198" s="26"/>
      <x:c r="H198" s="26"/>
      <x:c r="I198" s="26"/>
      <x:c r="J198" s="26"/>
      <x:c r="K198" s="26"/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</x:row>
    <x:row r="199">
      <x:c r="A199" s="26"/>
      <x:c r="B199" s="26"/>
      <x:c r="C199" s="26"/>
      <x:c r="D199" s="26"/>
      <x:c r="E199" s="26"/>
      <x:c r="F199" s="26"/>
      <x:c r="G199" s="26"/>
      <x:c r="H199" s="26"/>
      <x:c r="I199" s="26"/>
      <x:c r="J199" s="26"/>
      <x:c r="K199" s="26"/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</x:row>
    <x:row r="200">
      <x:c r="A200" s="26"/>
      <x:c r="B200" s="26"/>
      <x:c r="C200" s="26"/>
      <x:c r="D200" s="26"/>
      <x:c r="E200" s="26"/>
      <x:c r="F200" s="26"/>
      <x:c r="G200" s="26"/>
      <x:c r="H200" s="26"/>
      <x:c r="I200" s="26"/>
      <x:c r="J200" s="26"/>
      <x:c r="K200" s="26"/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</x:row>
  </x:sheetData>
  <x:mergeCells>
    <x:mergeCell ref="A1:O1"/>
  </x:mergeCells>
  <x:pageMargins left="0.7" right="0.7" top="0.75" bottom="0.75" header="0.3" footer="0.3"/>
  <x:tableParts count="1">
    <x:tablePart xmlns:r="http://schemas.openxmlformats.org/officeDocument/2006/relationships" r:id="Rfc4b395f37cc4be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8" customHeight="1">
      <x:c r="A1" s="50" t="str">
        <x:v>Revenue Forecast</x:v>
      </x:c>
      <x:c r="B1" s="50"/>
      <x:c r="C1" s="50"/>
      <x:c r="D1" s="50"/>
      <x:c r="E1" s="50"/>
      <x:c r="F1" s="50"/>
      <x:c r="G1" s="50"/>
      <x:c r="H1" s="50"/>
      <x:c r="I1" s="50"/>
      <x:c r="J1" s="50"/>
      <x:c r="K1" s="50"/>
      <x:c r="L1" s="50"/>
      <x:c r="M1" s="50"/>
      <x:c r="N1" s="50"/>
      <x:c r="O1" s="26"/>
      <x:c r="P1" s="26"/>
      <x:c r="Q1" s="26"/>
      <x:c r="R1" s="26"/>
      <x:c r="S1" s="26"/>
      <x:c r="T1" s="26"/>
      <x:c r="U1" s="26"/>
      <x:c r="V1" s="26"/>
      <x:c r="W1" s="26"/>
      <x:c r="X1" s="26"/>
      <x:c r="Y1" s="26"/>
      <x:c r="Z1" s="26"/>
    </x:row>
    <x:row r="2">
      <x:c r="A2" s="26"/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</x:row>
    <x:row r="3">
      <x:c r="A3" s="14" t="str">
        <x:v>Month #</x:v>
      </x:c>
      <x:c r="B3" s="14" t="str">
        <x:v>Month</x:v>
      </x:c>
      <x:c r="C3" s="14" t="str">
        <x:v>Active Paid Users</x:v>
      </x:c>
      <x:c r="D3" s="14" t="str">
        <x:v>Monthly Price Avg</x:v>
      </x:c>
      <x:c r="E3" s="14" t="str">
        <x:v>Monthly Mix</x:v>
      </x:c>
      <x:c r="F3" s="14" t="str">
        <x:v>Season Mix</x:v>
      </x:c>
      <x:c r="G3" s="14" t="str">
        <x:v>Annual Mix</x:v>
      </x:c>
      <x:c r="H3" s="14" t="str">
        <x:v>Recognized ARPPU / month</x:v>
      </x:c>
      <x:c r="I3" s="14" t="str">
        <x:v>MRR / Recognized Revenue</x:v>
      </x:c>
      <x:c r="J3" s="14" t="str">
        <x:v>ARR Run-rate</x:v>
      </x:c>
      <x:c r="K3" s="14" t="str">
        <x:v>New Paid Users</x:v>
      </x:c>
      <x:c r="L3" s="14" t="str">
        <x:v>New Bookings Cash In</x:v>
      </x:c>
      <x:c r="M3" s="14" t="str">
        <x:v>Cumulative Revenue</x:v>
      </x:c>
      <x:c r="N3" s="14" t="str">
        <x:v>ARPU all registrations</x:v>
      </x:c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</x:row>
    <x:row r="4">
      <x:c r="A4" s="26" t="n">
        <x:f>Funnel!A4</x:f>
        <x:v>1</x:v>
      </x:c>
      <x:c r="B4" s="52" t="str">
        <x:f>Funnel!B4</x:f>
        <x:v>2026-06-01</x:v>
      </x:c>
      <x:c r="C4" s="26" t="n">
        <x:f>Funnel!N4</x:f>
        <x:v>5.940000000000001</x:v>
      </x:c>
      <x:c r="D4" s="58" t="n">
        <x:f>INDEX(Scenarios!$B$13:$D$13,1,MATCH(Assumptions!$C$4,Scenarios!$B$3:$D$3,0))</x:f>
        <x:v>6900</x:v>
      </x:c>
      <x:c r="E4" s="54" t="n">
        <x:f>Assumptions!$C$14</x:f>
        <x:v>5</x:v>
      </x:c>
      <x:c r="F4" s="54" t="n">
        <x:f>INDEX(Scenarios!$B$14:$D$14,1,MATCH(Assumptions!$C$4,Scenarios!$B$3:$D$3,0))</x:f>
        <x:v>0.45</x:v>
      </x:c>
      <x:c r="G4" s="54" t="n">
        <x:f>INDEX(Scenarios!$B$15:$D$15,1,MATCH(Assumptions!$C$4,Scenarios!$B$3:$D$3,0))</x:f>
        <x:v>0.1</x:v>
      </x:c>
      <x:c r="H4" s="26" t="n">
        <x:f>D4*E4+Assumptions!$C$12/Assumptions!$C$14*F4+Assumptions!$C$13/12*G4</x:f>
        <x:v>37766</x:v>
      </x:c>
      <x:c r="I4" s="26" t="n">
        <x:f>C4*H4</x:f>
        <x:v>224330.04000000004</x:v>
      </x:c>
      <x:c r="J4" s="26" t="n">
        <x:f>I4*12</x:f>
        <x:v>2691960.4800000004</x:v>
      </x:c>
      <x:c r="K4" s="26" t="n">
        <x:f>Funnel!H4</x:f>
        <x:v>5.940000000000001</x:v>
      </x:c>
      <x:c r="L4" s="26" t="n">
        <x:f>K4*(D4*E4+Assumptions!$C$12*F4+Assumptions!$C$13*G4)</x:f>
        <x:v>325838.70000000007</x:v>
      </x:c>
      <x:c r="M4" s="26" t="n">
        <x:f>SUM($I$4:I4)</x:f>
        <x:v>224330.04000000004</x:v>
      </x:c>
      <x:c r="N4" s="26" t="n">
        <x:f>IFERROR(I4/Funnel!F4,0)</x:f>
        <x:v>4154.260000000001</x:v>
      </x:c>
      <x:c r="O4" s="26"/>
      <x:c r="P4" s="26"/>
      <x:c r="Q4" s="26"/>
      <x:c r="R4" s="26"/>
      <x:c r="S4" s="26"/>
      <x:c r="T4" s="26"/>
      <x:c r="U4" s="26"/>
      <x:c r="V4" s="26"/>
      <x:c r="W4" s="26"/>
      <x:c r="X4" s="26"/>
      <x:c r="Y4" s="26"/>
      <x:c r="Z4" s="26"/>
    </x:row>
    <x:row r="5">
      <x:c r="A5" s="26" t="n">
        <x:f>Funnel!A5</x:f>
        <x:v>2</x:v>
      </x:c>
      <x:c r="B5" s="52" t="n">
        <x:f>Funnel!B5</x:f>
        <x:v>46204</x:v>
      </x:c>
      <x:c r="C5" s="26" t="n">
        <x:f>Funnel!N5</x:f>
        <x:v>11.880000000000003</x:v>
      </x:c>
      <x:c r="D5" s="58" t="n">
        <x:f>INDEX(Scenarios!$B$13:$D$13,1,MATCH(Assumptions!$C$4,Scenarios!$B$3:$D$3,0))</x:f>
        <x:v>6900</x:v>
      </x:c>
      <x:c r="E5" s="54" t="n">
        <x:f>Assumptions!$C$14</x:f>
        <x:v>5</x:v>
      </x:c>
      <x:c r="F5" s="54" t="n">
        <x:f>INDEX(Scenarios!$B$14:$D$14,1,MATCH(Assumptions!$C$4,Scenarios!$B$3:$D$3,0))</x:f>
        <x:v>0.45</x:v>
      </x:c>
      <x:c r="G5" s="54" t="n">
        <x:f>INDEX(Scenarios!$B$15:$D$15,1,MATCH(Assumptions!$C$4,Scenarios!$B$3:$D$3,0))</x:f>
        <x:v>0.1</x:v>
      </x:c>
      <x:c r="H5" s="26" t="n">
        <x:f>D5*E5+Assumptions!$C$12/Assumptions!$C$14*F5+Assumptions!$C$13/12*G5</x:f>
        <x:v>37766</x:v>
      </x:c>
      <x:c r="I5" s="26" t="n">
        <x:f>C5*H5</x:f>
        <x:v>448660.0800000001</x:v>
      </x:c>
      <x:c r="J5" s="26" t="n">
        <x:f>I5*12</x:f>
        <x:v>5383920.960000001</x:v>
      </x:c>
      <x:c r="K5" s="26" t="n">
        <x:f>Funnel!H5</x:f>
        <x:v>5.940000000000001</x:v>
      </x:c>
      <x:c r="L5" s="26" t="n">
        <x:f>K5*(D5*E5+Assumptions!$C$12*F5+Assumptions!$C$13*G5)</x:f>
        <x:v>325838.70000000007</x:v>
      </x:c>
      <x:c r="M5" s="26" t="n">
        <x:f>SUM($I$4:I5)</x:f>
        <x:v>672990.1200000001</x:v>
      </x:c>
      <x:c r="N5" s="26" t="n">
        <x:f>IFERROR(I5/Funnel!F5,0)</x:f>
        <x:v>8308.520000000002</x:v>
      </x:c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>
      <x:c r="A6" s="26" t="n">
        <x:f>Funnel!A6</x:f>
        <x:v>3</x:v>
      </x:c>
      <x:c r="B6" s="52" t="n">
        <x:f>Funnel!B6</x:f>
        <x:v>46235</x:v>
      </x:c>
      <x:c r="C6" s="26" t="n">
        <x:f>Funnel!N6</x:f>
        <x:v>17.820000000000004</x:v>
      </x:c>
      <x:c r="D6" s="58" t="n">
        <x:f>INDEX(Scenarios!$B$13:$D$13,1,MATCH(Assumptions!$C$4,Scenarios!$B$3:$D$3,0))</x:f>
        <x:v>6900</x:v>
      </x:c>
      <x:c r="E6" s="54" t="n">
        <x:f>Assumptions!$C$14</x:f>
        <x:v>5</x:v>
      </x:c>
      <x:c r="F6" s="54" t="n">
        <x:f>INDEX(Scenarios!$B$14:$D$14,1,MATCH(Assumptions!$C$4,Scenarios!$B$3:$D$3,0))</x:f>
        <x:v>0.45</x:v>
      </x:c>
      <x:c r="G6" s="54" t="n">
        <x:f>INDEX(Scenarios!$B$15:$D$15,1,MATCH(Assumptions!$C$4,Scenarios!$B$3:$D$3,0))</x:f>
        <x:v>0.1</x:v>
      </x:c>
      <x:c r="H6" s="26" t="n">
        <x:f>D6*E6+Assumptions!$C$12/Assumptions!$C$14*F6+Assumptions!$C$13/12*G6</x:f>
        <x:v>37766</x:v>
      </x:c>
      <x:c r="I6" s="26" t="n">
        <x:f>C6*H6</x:f>
        <x:v>672990.1200000001</x:v>
      </x:c>
      <x:c r="J6" s="26" t="n">
        <x:f>I6*12</x:f>
        <x:v>8075881.440000001</x:v>
      </x:c>
      <x:c r="K6" s="26" t="n">
        <x:f>Funnel!H6</x:f>
        <x:v>5.940000000000001</x:v>
      </x:c>
      <x:c r="L6" s="26" t="n">
        <x:f>K6*(D6*E6+Assumptions!$C$12*F6+Assumptions!$C$13*G6)</x:f>
        <x:v>325838.70000000007</x:v>
      </x:c>
      <x:c r="M6" s="26" t="n">
        <x:f>SUM($I$4:I6)</x:f>
        <x:v>1345980.2400000002</x:v>
      </x:c>
      <x:c r="N6" s="26" t="n">
        <x:f>IFERROR(I6/Funnel!F6,0)</x:f>
        <x:v>12462.780000000002</x:v>
      </x:c>
      <x:c r="O6" s="26"/>
      <x:c r="P6" s="26"/>
      <x:c r="Q6" s="26"/>
      <x:c r="R6" s="26"/>
      <x:c r="S6" s="26"/>
      <x:c r="T6" s="26"/>
      <x:c r="U6" s="26"/>
      <x:c r="V6" s="26"/>
      <x:c r="W6" s="26"/>
      <x:c r="X6" s="26"/>
      <x:c r="Y6" s="26"/>
      <x:c r="Z6" s="26"/>
    </x:row>
    <x:row r="7">
      <x:c r="A7" s="26" t="n">
        <x:f>Funnel!A7</x:f>
        <x:v>4</x:v>
      </x:c>
      <x:c r="B7" s="52" t="n">
        <x:f>Funnel!B7</x:f>
        <x:v>46266</x:v>
      </x:c>
      <x:c r="C7" s="26" t="n">
        <x:f>Funnel!N7</x:f>
        <x:v>23.760000000000005</x:v>
      </x:c>
      <x:c r="D7" s="58" t="n">
        <x:f>INDEX(Scenarios!$B$13:$D$13,1,MATCH(Assumptions!$C$4,Scenarios!$B$3:$D$3,0))</x:f>
        <x:v>6900</x:v>
      </x:c>
      <x:c r="E7" s="54" t="n">
        <x:f>Assumptions!$C$14</x:f>
        <x:v>5</x:v>
      </x:c>
      <x:c r="F7" s="54" t="n">
        <x:f>INDEX(Scenarios!$B$14:$D$14,1,MATCH(Assumptions!$C$4,Scenarios!$B$3:$D$3,0))</x:f>
        <x:v>0.45</x:v>
      </x:c>
      <x:c r="G7" s="54" t="n">
        <x:f>INDEX(Scenarios!$B$15:$D$15,1,MATCH(Assumptions!$C$4,Scenarios!$B$3:$D$3,0))</x:f>
        <x:v>0.1</x:v>
      </x:c>
      <x:c r="H7" s="26" t="n">
        <x:f>D7*E7+Assumptions!$C$12/Assumptions!$C$14*F7+Assumptions!$C$13/12*G7</x:f>
        <x:v>37766</x:v>
      </x:c>
      <x:c r="I7" s="26" t="n">
        <x:f>C7*H7</x:f>
        <x:v>897320.1600000001</x:v>
      </x:c>
      <x:c r="J7" s="26" t="n">
        <x:f>I7*12</x:f>
        <x:v>10767841.920000002</x:v>
      </x:c>
      <x:c r="K7" s="26" t="n">
        <x:f>Funnel!H7</x:f>
        <x:v>5.940000000000001</x:v>
      </x:c>
      <x:c r="L7" s="26" t="n">
        <x:f>K7*(D7*E7+Assumptions!$C$12*F7+Assumptions!$C$13*G7)</x:f>
        <x:v>325838.70000000007</x:v>
      </x:c>
      <x:c r="M7" s="26" t="n">
        <x:f>SUM($I$4:I7)</x:f>
        <x:v>2243300.4000000004</x:v>
      </x:c>
      <x:c r="N7" s="26" t="n">
        <x:f>IFERROR(I7/Funnel!F7,0)</x:f>
        <x:v>16617.040000000005</x:v>
      </x:c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26"/>
      <x:c r="Z7" s="26"/>
    </x:row>
    <x:row r="8">
      <x:c r="A8" s="26" t="n">
        <x:f>Funnel!A8</x:f>
        <x:v>5</x:v>
      </x:c>
      <x:c r="B8" s="52" t="n">
        <x:f>Funnel!B8</x:f>
        <x:v>46296</x:v>
      </x:c>
      <x:c r="C8" s="26" t="n">
        <x:f>Funnel!N8</x:f>
        <x:v>29.700000000000006</x:v>
      </x:c>
      <x:c r="D8" s="58" t="n">
        <x:f>INDEX(Scenarios!$B$13:$D$13,1,MATCH(Assumptions!$C$4,Scenarios!$B$3:$D$3,0))</x:f>
        <x:v>6900</x:v>
      </x:c>
      <x:c r="E8" s="54" t="n">
        <x:f>Assumptions!$C$14</x:f>
        <x:v>5</x:v>
      </x:c>
      <x:c r="F8" s="54" t="n">
        <x:f>INDEX(Scenarios!$B$14:$D$14,1,MATCH(Assumptions!$C$4,Scenarios!$B$3:$D$3,0))</x:f>
        <x:v>0.45</x:v>
      </x:c>
      <x:c r="G8" s="54" t="n">
        <x:f>INDEX(Scenarios!$B$15:$D$15,1,MATCH(Assumptions!$C$4,Scenarios!$B$3:$D$3,0))</x:f>
        <x:v>0.1</x:v>
      </x:c>
      <x:c r="H8" s="26" t="n">
        <x:f>D8*E8+Assumptions!$C$12/Assumptions!$C$14*F8+Assumptions!$C$13/12*G8</x:f>
        <x:v>37766</x:v>
      </x:c>
      <x:c r="I8" s="26" t="n">
        <x:f>C8*H8</x:f>
        <x:v>1121650.2000000002</x:v>
      </x:c>
      <x:c r="J8" s="26" t="n">
        <x:f>I8*12</x:f>
        <x:v>13459802.400000002</x:v>
      </x:c>
      <x:c r="K8" s="26" t="n">
        <x:f>Funnel!H8</x:f>
        <x:v>5.940000000000001</x:v>
      </x:c>
      <x:c r="L8" s="26" t="n">
        <x:f>K8*(D8*E8+Assumptions!$C$12*F8+Assumptions!$C$13*G8)</x:f>
        <x:v>325838.70000000007</x:v>
      </x:c>
      <x:c r="M8" s="26" t="n">
        <x:f>SUM($I$4:I8)</x:f>
        <x:v>3364950.6000000006</x:v>
      </x:c>
      <x:c r="N8" s="26" t="n">
        <x:f>IFERROR(I8/Funnel!F8,0)</x:f>
        <x:v>20771.300000000003</x:v>
      </x:c>
      <x:c r="O8" s="26"/>
      <x:c r="P8" s="26"/>
      <x:c r="Q8" s="26"/>
      <x:c r="R8" s="26"/>
      <x:c r="S8" s="26"/>
      <x:c r="T8" s="26"/>
      <x:c r="U8" s="26"/>
      <x:c r="V8" s="26"/>
      <x:c r="W8" s="26"/>
      <x:c r="X8" s="26"/>
      <x:c r="Y8" s="26"/>
      <x:c r="Z8" s="26"/>
    </x:row>
    <x:row r="9">
      <x:c r="A9" s="26" t="n">
        <x:f>Funnel!A9</x:f>
        <x:v>6</x:v>
      </x:c>
      <x:c r="B9" s="52" t="n">
        <x:f>Funnel!B9</x:f>
        <x:v>46327</x:v>
      </x:c>
      <x:c r="C9" s="26" t="n">
        <x:f>Funnel!N9</x:f>
        <x:v>35.64000000000001</x:v>
      </x:c>
      <x:c r="D9" s="58" t="n">
        <x:f>INDEX(Scenarios!$B$13:$D$13,1,MATCH(Assumptions!$C$4,Scenarios!$B$3:$D$3,0))</x:f>
        <x:v>6900</x:v>
      </x:c>
      <x:c r="E9" s="54" t="n">
        <x:f>Assumptions!$C$14</x:f>
        <x:v>5</x:v>
      </x:c>
      <x:c r="F9" s="54" t="n">
        <x:f>INDEX(Scenarios!$B$14:$D$14,1,MATCH(Assumptions!$C$4,Scenarios!$B$3:$D$3,0))</x:f>
        <x:v>0.45</x:v>
      </x:c>
      <x:c r="G9" s="54" t="n">
        <x:f>INDEX(Scenarios!$B$15:$D$15,1,MATCH(Assumptions!$C$4,Scenarios!$B$3:$D$3,0))</x:f>
        <x:v>0.1</x:v>
      </x:c>
      <x:c r="H9" s="26" t="n">
        <x:f>D9*E9+Assumptions!$C$12/Assumptions!$C$14*F9+Assumptions!$C$13/12*G9</x:f>
        <x:v>37766</x:v>
      </x:c>
      <x:c r="I9" s="26" t="n">
        <x:f>C9*H9</x:f>
        <x:v>1345980.2400000002</x:v>
      </x:c>
      <x:c r="J9" s="26" t="n">
        <x:f>I9*12</x:f>
        <x:v>16151762.880000003</x:v>
      </x:c>
      <x:c r="K9" s="26" t="n">
        <x:f>Funnel!H9</x:f>
        <x:v>5.940000000000001</x:v>
      </x:c>
      <x:c r="L9" s="26" t="n">
        <x:f>K9*(D9*E9+Assumptions!$C$12*F9+Assumptions!$C$13*G9)</x:f>
        <x:v>325838.70000000007</x:v>
      </x:c>
      <x:c r="M9" s="26" t="n">
        <x:f>SUM($I$4:I9)</x:f>
        <x:v>4710930.840000001</x:v>
      </x:c>
      <x:c r="N9" s="26" t="n">
        <x:f>IFERROR(I9/Funnel!F9,0)</x:f>
        <x:v>24925.560000000005</x:v>
      </x:c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26"/>
      <x:c r="Z9" s="26"/>
    </x:row>
    <x:row r="10">
      <x:c r="A10" s="26" t="n">
        <x:f>Funnel!A10</x:f>
        <x:v>7</x:v>
      </x:c>
      <x:c r="B10" s="52" t="n">
        <x:f>Funnel!B10</x:f>
        <x:v>46357</x:v>
      </x:c>
      <x:c r="C10" s="26" t="n">
        <x:f>Funnel!N10</x:f>
        <x:v>41.58000000000001</x:v>
      </x:c>
      <x:c r="D10" s="58" t="n">
        <x:f>INDEX(Scenarios!$B$13:$D$13,1,MATCH(Assumptions!$C$4,Scenarios!$B$3:$D$3,0))</x:f>
        <x:v>6900</x:v>
      </x:c>
      <x:c r="E10" s="54" t="n">
        <x:f>Assumptions!$C$14</x:f>
        <x:v>5</x:v>
      </x:c>
      <x:c r="F10" s="54" t="n">
        <x:f>INDEX(Scenarios!$B$14:$D$14,1,MATCH(Assumptions!$C$4,Scenarios!$B$3:$D$3,0))</x:f>
        <x:v>0.45</x:v>
      </x:c>
      <x:c r="G10" s="54" t="n">
        <x:f>INDEX(Scenarios!$B$15:$D$15,1,MATCH(Assumptions!$C$4,Scenarios!$B$3:$D$3,0))</x:f>
        <x:v>0.1</x:v>
      </x:c>
      <x:c r="H10" s="26" t="n">
        <x:f>D10*E10+Assumptions!$C$12/Assumptions!$C$14*F10+Assumptions!$C$13/12*G10</x:f>
        <x:v>37766</x:v>
      </x:c>
      <x:c r="I10" s="26" t="n">
        <x:f>C10*H10</x:f>
        <x:v>1570310.2800000005</x:v>
      </x:c>
      <x:c r="J10" s="26" t="n">
        <x:f>I10*12</x:f>
        <x:v>18843723.360000007</x:v>
      </x:c>
      <x:c r="K10" s="26" t="n">
        <x:f>Funnel!H10</x:f>
        <x:v>5.940000000000001</x:v>
      </x:c>
      <x:c r="L10" s="26" t="n">
        <x:f>K10*(D10*E10+Assumptions!$C$12*F10+Assumptions!$C$13*G10)</x:f>
        <x:v>325838.70000000007</x:v>
      </x:c>
      <x:c r="M10" s="26" t="n">
        <x:f>SUM($I$4:I10)</x:f>
        <x:v>6281241.120000001</x:v>
      </x:c>
      <x:c r="N10" s="26" t="n">
        <x:f>IFERROR(I10/Funnel!F10,0)</x:f>
        <x:v>29079.82000000001</x:v>
      </x:c>
      <x:c r="O10" s="26"/>
      <x:c r="P10" s="26"/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</x:row>
    <x:row r="11">
      <x:c r="A11" s="26" t="n">
        <x:f>Funnel!A11</x:f>
        <x:v>8</x:v>
      </x:c>
      <x:c r="B11" s="52" t="n">
        <x:f>Funnel!B11</x:f>
        <x:v>46388</x:v>
      </x:c>
      <x:c r="C11" s="26" t="n">
        <x:f>Funnel!N11</x:f>
        <x:v>47.52000000000001</x:v>
      </x:c>
      <x:c r="D11" s="58" t="n">
        <x:f>INDEX(Scenarios!$B$13:$D$13,1,MATCH(Assumptions!$C$4,Scenarios!$B$3:$D$3,0))</x:f>
        <x:v>6900</x:v>
      </x:c>
      <x:c r="E11" s="54" t="n">
        <x:f>Assumptions!$C$14</x:f>
        <x:v>5</x:v>
      </x:c>
      <x:c r="F11" s="54" t="n">
        <x:f>INDEX(Scenarios!$B$14:$D$14,1,MATCH(Assumptions!$C$4,Scenarios!$B$3:$D$3,0))</x:f>
        <x:v>0.45</x:v>
      </x:c>
      <x:c r="G11" s="54" t="n">
        <x:f>INDEX(Scenarios!$B$15:$D$15,1,MATCH(Assumptions!$C$4,Scenarios!$B$3:$D$3,0))</x:f>
        <x:v>0.1</x:v>
      </x:c>
      <x:c r="H11" s="26" t="n">
        <x:f>D11*E11+Assumptions!$C$12/Assumptions!$C$14*F11+Assumptions!$C$13/12*G11</x:f>
        <x:v>37766</x:v>
      </x:c>
      <x:c r="I11" s="26" t="n">
        <x:f>C11*H11</x:f>
        <x:v>1794640.3200000003</x:v>
      </x:c>
      <x:c r="J11" s="26" t="n">
        <x:f>I11*12</x:f>
        <x:v>21535683.840000004</x:v>
      </x:c>
      <x:c r="K11" s="26" t="n">
        <x:f>Funnel!H11</x:f>
        <x:v>5.940000000000001</x:v>
      </x:c>
      <x:c r="L11" s="26" t="n">
        <x:f>K11*(D11*E11+Assumptions!$C$12*F11+Assumptions!$C$13*G11)</x:f>
        <x:v>325838.70000000007</x:v>
      </x:c>
      <x:c r="M11" s="26" t="n">
        <x:f>SUM($I$4:I11)</x:f>
        <x:v>8075881.440000001</x:v>
      </x:c>
      <x:c r="N11" s="26" t="n">
        <x:f>IFERROR(I11/Funnel!F11,0)</x:f>
        <x:v>33234.08000000001</x:v>
      </x:c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</x:row>
    <x:row r="12">
      <x:c r="A12" s="26" t="n">
        <x:f>Funnel!A12</x:f>
        <x:v>9</x:v>
      </x:c>
      <x:c r="B12" s="52" t="n">
        <x:f>Funnel!B12</x:f>
        <x:v>46419</x:v>
      </x:c>
      <x:c r="C12" s="26" t="n">
        <x:f>Funnel!N12</x:f>
        <x:v>53.46000000000001</x:v>
      </x:c>
      <x:c r="D12" s="58" t="n">
        <x:f>INDEX(Scenarios!$B$13:$D$13,1,MATCH(Assumptions!$C$4,Scenarios!$B$3:$D$3,0))</x:f>
        <x:v>6900</x:v>
      </x:c>
      <x:c r="E12" s="54" t="n">
        <x:f>Assumptions!$C$14</x:f>
        <x:v>5</x:v>
      </x:c>
      <x:c r="F12" s="54" t="n">
        <x:f>INDEX(Scenarios!$B$14:$D$14,1,MATCH(Assumptions!$C$4,Scenarios!$B$3:$D$3,0))</x:f>
        <x:v>0.45</x:v>
      </x:c>
      <x:c r="G12" s="54" t="n">
        <x:f>INDEX(Scenarios!$B$15:$D$15,1,MATCH(Assumptions!$C$4,Scenarios!$B$3:$D$3,0))</x:f>
        <x:v>0.1</x:v>
      </x:c>
      <x:c r="H12" s="26" t="n">
        <x:f>D12*E12+Assumptions!$C$12/Assumptions!$C$14*F12+Assumptions!$C$13/12*G12</x:f>
        <x:v>37766</x:v>
      </x:c>
      <x:c r="I12" s="26" t="n">
        <x:f>C12*H12</x:f>
        <x:v>2018970.3600000003</x:v>
      </x:c>
      <x:c r="J12" s="26" t="n">
        <x:f>I12*12</x:f>
        <x:v>24227644.320000004</x:v>
      </x:c>
      <x:c r="K12" s="26" t="n">
        <x:f>Funnel!H12</x:f>
        <x:v>5.940000000000001</x:v>
      </x:c>
      <x:c r="L12" s="26" t="n">
        <x:f>K12*(D12*E12+Assumptions!$C$12*F12+Assumptions!$C$13*G12)</x:f>
        <x:v>325838.70000000007</x:v>
      </x:c>
      <x:c r="M12" s="26" t="n">
        <x:f>SUM($I$4:I12)</x:f>
        <x:v>10094851.8</x:v>
      </x:c>
      <x:c r="N12" s="26" t="n">
        <x:f>IFERROR(I12/Funnel!F12,0)</x:f>
        <x:v>37388.340000000004</x:v>
      </x:c>
      <x:c r="O12" s="26"/>
      <x:c r="P12" s="26"/>
      <x:c r="Q12" s="26"/>
      <x:c r="R12" s="26"/>
      <x:c r="S12" s="26"/>
      <x:c r="T12" s="26"/>
      <x:c r="U12" s="26"/>
      <x:c r="V12" s="26"/>
      <x:c r="W12" s="26"/>
      <x:c r="X12" s="26"/>
      <x:c r="Y12" s="26"/>
      <x:c r="Z12" s="26"/>
    </x:row>
    <x:row r="13">
      <x:c r="A13" s="26" t="n">
        <x:f>Funnel!A13</x:f>
        <x:v>10</x:v>
      </x:c>
      <x:c r="B13" s="52" t="n">
        <x:f>Funnel!B13</x:f>
        <x:v>46447</x:v>
      </x:c>
      <x:c r="C13" s="26" t="n">
        <x:f>Funnel!N13</x:f>
        <x:v>59.400000000000006</x:v>
      </x:c>
      <x:c r="D13" s="58" t="n">
        <x:f>INDEX(Scenarios!$B$13:$D$13,1,MATCH(Assumptions!$C$4,Scenarios!$B$3:$D$3,0))</x:f>
        <x:v>6900</x:v>
      </x:c>
      <x:c r="E13" s="54" t="n">
        <x:f>Assumptions!$C$14</x:f>
        <x:v>5</x:v>
      </x:c>
      <x:c r="F13" s="54" t="n">
        <x:f>INDEX(Scenarios!$B$14:$D$14,1,MATCH(Assumptions!$C$4,Scenarios!$B$3:$D$3,0))</x:f>
        <x:v>0.45</x:v>
      </x:c>
      <x:c r="G13" s="54" t="n">
        <x:f>INDEX(Scenarios!$B$15:$D$15,1,MATCH(Assumptions!$C$4,Scenarios!$B$3:$D$3,0))</x:f>
        <x:v>0.1</x:v>
      </x:c>
      <x:c r="H13" s="26" t="n">
        <x:f>D13*E13+Assumptions!$C$12/Assumptions!$C$14*F13+Assumptions!$C$13/12*G13</x:f>
        <x:v>37766</x:v>
      </x:c>
      <x:c r="I13" s="26" t="n">
        <x:f>C13*H13</x:f>
        <x:v>2243300.4000000004</x:v>
      </x:c>
      <x:c r="J13" s="26" t="n">
        <x:f>I13*12</x:f>
        <x:v>26919604.800000004</x:v>
      </x:c>
      <x:c r="K13" s="26" t="n">
        <x:f>Funnel!H13</x:f>
        <x:v>5.940000000000001</x:v>
      </x:c>
      <x:c r="L13" s="26" t="n">
        <x:f>K13*(D13*E13+Assumptions!$C$12*F13+Assumptions!$C$13*G13)</x:f>
        <x:v>325838.70000000007</x:v>
      </x:c>
      <x:c r="M13" s="26" t="n">
        <x:f>SUM($I$4:I13)</x:f>
        <x:v>12338152.200000001</x:v>
      </x:c>
      <x:c r="N13" s="26" t="n">
        <x:f>IFERROR(I13/Funnel!F13,0)</x:f>
        <x:v>41542.600000000006</x:v>
      </x:c>
      <x:c r="O13" s="26"/>
      <x:c r="P13" s="26"/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</x:row>
    <x:row r="14">
      <x:c r="A14" s="26" t="n">
        <x:f>Funnel!A14</x:f>
        <x:v>11</x:v>
      </x:c>
      <x:c r="B14" s="52" t="n">
        <x:f>Funnel!B14</x:f>
        <x:v>46478</x:v>
      </x:c>
      <x:c r="C14" s="26" t="n">
        <x:f>Funnel!N14</x:f>
        <x:v>65.34</x:v>
      </x:c>
      <x:c r="D14" s="58" t="n">
        <x:f>INDEX(Scenarios!$B$13:$D$13,1,MATCH(Assumptions!$C$4,Scenarios!$B$3:$D$3,0))</x:f>
        <x:v>6900</x:v>
      </x:c>
      <x:c r="E14" s="54" t="n">
        <x:f>Assumptions!$C$14</x:f>
        <x:v>5</x:v>
      </x:c>
      <x:c r="F14" s="54" t="n">
        <x:f>INDEX(Scenarios!$B$14:$D$14,1,MATCH(Assumptions!$C$4,Scenarios!$B$3:$D$3,0))</x:f>
        <x:v>0.45</x:v>
      </x:c>
      <x:c r="G14" s="54" t="n">
        <x:f>INDEX(Scenarios!$B$15:$D$15,1,MATCH(Assumptions!$C$4,Scenarios!$B$3:$D$3,0))</x:f>
        <x:v>0.1</x:v>
      </x:c>
      <x:c r="H14" s="26" t="n">
        <x:f>D14*E14+Assumptions!$C$12/Assumptions!$C$14*F14+Assumptions!$C$13/12*G14</x:f>
        <x:v>37766</x:v>
      </x:c>
      <x:c r="I14" s="26" t="n">
        <x:f>C14*H14</x:f>
        <x:v>2467630.44</x:v>
      </x:c>
      <x:c r="J14" s="26" t="n">
        <x:f>I14*12</x:f>
        <x:v>29611565.28</x:v>
      </x:c>
      <x:c r="K14" s="26" t="n">
        <x:f>Funnel!H14</x:f>
        <x:v>5.940000000000001</x:v>
      </x:c>
      <x:c r="L14" s="26" t="n">
        <x:f>K14*(D14*E14+Assumptions!$C$12*F14+Assumptions!$C$13*G14)</x:f>
        <x:v>325838.70000000007</x:v>
      </x:c>
      <x:c r="M14" s="26" t="n">
        <x:f>SUM($I$4:I14)</x:f>
        <x:v>14805782.64</x:v>
      </x:c>
      <x:c r="N14" s="26" t="n">
        <x:f>IFERROR(I14/Funnel!F14,0)</x:f>
        <x:v>45696.86</x:v>
      </x:c>
      <x:c r="O14" s="26"/>
      <x:c r="P14" s="26"/>
      <x:c r="Q14" s="26"/>
      <x:c r="R14" s="26"/>
      <x:c r="S14" s="26"/>
      <x:c r="T14" s="26"/>
      <x:c r="U14" s="26"/>
      <x:c r="V14" s="26"/>
      <x:c r="W14" s="26"/>
      <x:c r="X14" s="26"/>
      <x:c r="Y14" s="26"/>
      <x:c r="Z14" s="26"/>
    </x:row>
    <x:row r="15">
      <x:c r="A15" s="26" t="n">
        <x:f>Funnel!A15</x:f>
        <x:v>12</x:v>
      </x:c>
      <x:c r="B15" s="52" t="n">
        <x:f>Funnel!B15</x:f>
        <x:v>46508</x:v>
      </x:c>
      <x:c r="C15" s="26" t="n">
        <x:f>Funnel!N15</x:f>
        <x:v>71.28</x:v>
      </x:c>
      <x:c r="D15" s="58" t="n">
        <x:f>INDEX(Scenarios!$B$13:$D$13,1,MATCH(Assumptions!$C$4,Scenarios!$B$3:$D$3,0))</x:f>
        <x:v>6900</x:v>
      </x:c>
      <x:c r="E15" s="54" t="n">
        <x:f>Assumptions!$C$14</x:f>
        <x:v>5</x:v>
      </x:c>
      <x:c r="F15" s="54" t="n">
        <x:f>INDEX(Scenarios!$B$14:$D$14,1,MATCH(Assumptions!$C$4,Scenarios!$B$3:$D$3,0))</x:f>
        <x:v>0.45</x:v>
      </x:c>
      <x:c r="G15" s="54" t="n">
        <x:f>INDEX(Scenarios!$B$15:$D$15,1,MATCH(Assumptions!$C$4,Scenarios!$B$3:$D$3,0))</x:f>
        <x:v>0.1</x:v>
      </x:c>
      <x:c r="H15" s="26" t="n">
        <x:f>D15*E15+Assumptions!$C$12/Assumptions!$C$14*F15+Assumptions!$C$13/12*G15</x:f>
        <x:v>37766</x:v>
      </x:c>
      <x:c r="I15" s="26" t="n">
        <x:f>C15*H15</x:f>
        <x:v>2691960.48</x:v>
      </x:c>
      <x:c r="J15" s="26" t="n">
        <x:f>I15*12</x:f>
        <x:v>32303525.759999998</x:v>
      </x:c>
      <x:c r="K15" s="26" t="n">
        <x:f>Funnel!H15</x:f>
        <x:v>5.940000000000001</x:v>
      </x:c>
      <x:c r="L15" s="26" t="n">
        <x:f>K15*(D15*E15+Assumptions!$C$12*F15+Assumptions!$C$13*G15)</x:f>
        <x:v>325838.70000000007</x:v>
      </x:c>
      <x:c r="M15" s="26" t="n">
        <x:f>SUM($I$4:I15)</x:f>
        <x:v>17497743.12</x:v>
      </x:c>
      <x:c r="N15" s="26" t="n">
        <x:f>IFERROR(I15/Funnel!F15,0)</x:f>
        <x:v>49851.12</x:v>
      </x:c>
      <x:c r="O15" s="26"/>
      <x:c r="P15" s="26"/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</x:row>
    <x:row r="16">
      <x:c r="A16" s="26" t="n">
        <x:f>Funnel!A16</x:f>
        <x:v>13</x:v>
      </x:c>
      <x:c r="B16" s="52" t="n">
        <x:f>Funnel!B16</x:f>
        <x:v>46539</x:v>
      </x:c>
      <x:c r="C16" s="26" t="n">
        <x:f>Funnel!N16</x:f>
        <x:v>77.22</x:v>
      </x:c>
      <x:c r="D16" s="58" t="n">
        <x:f>INDEX(Scenarios!$B$13:$D$13,1,MATCH(Assumptions!$C$4,Scenarios!$B$3:$D$3,0))</x:f>
        <x:v>6900</x:v>
      </x:c>
      <x:c r="E16" s="54" t="n">
        <x:f>Assumptions!$C$14</x:f>
        <x:v>5</x:v>
      </x:c>
      <x:c r="F16" s="54" t="n">
        <x:f>INDEX(Scenarios!$B$14:$D$14,1,MATCH(Assumptions!$C$4,Scenarios!$B$3:$D$3,0))</x:f>
        <x:v>0.45</x:v>
      </x:c>
      <x:c r="G16" s="54" t="n">
        <x:f>INDEX(Scenarios!$B$15:$D$15,1,MATCH(Assumptions!$C$4,Scenarios!$B$3:$D$3,0))</x:f>
        <x:v>0.1</x:v>
      </x:c>
      <x:c r="H16" s="26" t="n">
        <x:f>D16*E16+Assumptions!$C$12/Assumptions!$C$14*F16+Assumptions!$C$13/12*G16</x:f>
        <x:v>37766</x:v>
      </x:c>
      <x:c r="I16" s="26" t="n">
        <x:f>C16*H16</x:f>
        <x:v>2916290.52</x:v>
      </x:c>
      <x:c r="J16" s="26" t="n">
        <x:f>I16*12</x:f>
        <x:v>34995486.24</x:v>
      </x:c>
      <x:c r="K16" s="26" t="n">
        <x:f>Funnel!H16</x:f>
        <x:v>5.940000000000001</x:v>
      </x:c>
      <x:c r="L16" s="26" t="n">
        <x:f>K16*(D16*E16+Assumptions!$C$12*F16+Assumptions!$C$13*G16)</x:f>
        <x:v>325838.70000000007</x:v>
      </x:c>
      <x:c r="M16" s="26" t="n">
        <x:f>SUM($I$4:I16)</x:f>
        <x:v>20414033.64</x:v>
      </x:c>
      <x:c r="N16" s="26" t="n">
        <x:f>IFERROR(I16/Funnel!F16,0)</x:f>
        <x:v>54005.38</x:v>
      </x:c>
      <x:c r="O16" s="26"/>
      <x:c r="P16" s="26"/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</x:row>
    <x:row r="17">
      <x:c r="A17" s="26" t="n">
        <x:f>Funnel!A17</x:f>
        <x:v>14</x:v>
      </x:c>
      <x:c r="B17" s="52" t="n">
        <x:f>Funnel!B17</x:f>
        <x:v>46569</x:v>
      </x:c>
      <x:c r="C17" s="26" t="n">
        <x:f>Funnel!N17</x:f>
        <x:v>83.16</x:v>
      </x:c>
      <x:c r="D17" s="58" t="n">
        <x:f>INDEX(Scenarios!$B$13:$D$13,1,MATCH(Assumptions!$C$4,Scenarios!$B$3:$D$3,0))</x:f>
        <x:v>6900</x:v>
      </x:c>
      <x:c r="E17" s="54" t="n">
        <x:f>Assumptions!$C$14</x:f>
        <x:v>5</x:v>
      </x:c>
      <x:c r="F17" s="54" t="n">
        <x:f>INDEX(Scenarios!$B$14:$D$14,1,MATCH(Assumptions!$C$4,Scenarios!$B$3:$D$3,0))</x:f>
        <x:v>0.45</x:v>
      </x:c>
      <x:c r="G17" s="54" t="n">
        <x:f>INDEX(Scenarios!$B$15:$D$15,1,MATCH(Assumptions!$C$4,Scenarios!$B$3:$D$3,0))</x:f>
        <x:v>0.1</x:v>
      </x:c>
      <x:c r="H17" s="26" t="n">
        <x:f>D17*E17+Assumptions!$C$12/Assumptions!$C$14*F17+Assumptions!$C$13/12*G17</x:f>
        <x:v>37766</x:v>
      </x:c>
      <x:c r="I17" s="26" t="n">
        <x:f>C17*H17</x:f>
        <x:v>3140620.56</x:v>
      </x:c>
      <x:c r="J17" s="26" t="n">
        <x:f>I17*12</x:f>
        <x:v>37687446.72</x:v>
      </x:c>
      <x:c r="K17" s="26" t="n">
        <x:f>Funnel!H17</x:f>
        <x:v>5.940000000000001</x:v>
      </x:c>
      <x:c r="L17" s="26" t="n">
        <x:f>K17*(D17*E17+Assumptions!$C$12*F17+Assumptions!$C$13*G17)</x:f>
        <x:v>325838.70000000007</x:v>
      </x:c>
      <x:c r="M17" s="26" t="n">
        <x:f>SUM($I$4:I17)</x:f>
        <x:v>23554654.2</x:v>
      </x:c>
      <x:c r="N17" s="26" t="n">
        <x:f>IFERROR(I17/Funnel!F17,0)</x:f>
        <x:v>58159.64</x:v>
      </x:c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</x:row>
    <x:row r="18">
      <x:c r="A18" s="26" t="n">
        <x:f>Funnel!A18</x:f>
        <x:v>15</x:v>
      </x:c>
      <x:c r="B18" s="52" t="n">
        <x:f>Funnel!B18</x:f>
        <x:v>46600</x:v>
      </x:c>
      <x:c r="C18" s="26" t="n">
        <x:f>Funnel!N18</x:f>
        <x:v>89.1</x:v>
      </x:c>
      <x:c r="D18" s="58" t="n">
        <x:f>INDEX(Scenarios!$B$13:$D$13,1,MATCH(Assumptions!$C$4,Scenarios!$B$3:$D$3,0))</x:f>
        <x:v>6900</x:v>
      </x:c>
      <x:c r="E18" s="54" t="n">
        <x:f>Assumptions!$C$14</x:f>
        <x:v>5</x:v>
      </x:c>
      <x:c r="F18" s="54" t="n">
        <x:f>INDEX(Scenarios!$B$14:$D$14,1,MATCH(Assumptions!$C$4,Scenarios!$B$3:$D$3,0))</x:f>
        <x:v>0.45</x:v>
      </x:c>
      <x:c r="G18" s="54" t="n">
        <x:f>INDEX(Scenarios!$B$15:$D$15,1,MATCH(Assumptions!$C$4,Scenarios!$B$3:$D$3,0))</x:f>
        <x:v>0.1</x:v>
      </x:c>
      <x:c r="H18" s="26" t="n">
        <x:f>D18*E18+Assumptions!$C$12/Assumptions!$C$14*F18+Assumptions!$C$13/12*G18</x:f>
        <x:v>37766</x:v>
      </x:c>
      <x:c r="I18" s="26" t="n">
        <x:f>C18*H18</x:f>
        <x:v>3364950.5999999996</x:v>
      </x:c>
      <x:c r="J18" s="26" t="n">
        <x:f>I18*12</x:f>
        <x:v>40379407.199999996</x:v>
      </x:c>
      <x:c r="K18" s="26" t="n">
        <x:f>Funnel!H18</x:f>
        <x:v>5.940000000000001</x:v>
      </x:c>
      <x:c r="L18" s="26" t="n">
        <x:f>K18*(D18*E18+Assumptions!$C$12*F18+Assumptions!$C$13*G18)</x:f>
        <x:v>325838.70000000007</x:v>
      </x:c>
      <x:c r="M18" s="26" t="n">
        <x:f>SUM($I$4:I18)</x:f>
        <x:v>26919604.799999997</x:v>
      </x:c>
      <x:c r="N18" s="26" t="n">
        <x:f>IFERROR(I18/Funnel!F18,0)</x:f>
        <x:v>62313.899999999994</x:v>
      </x:c>
      <x:c r="O18" s="26"/>
      <x:c r="P18" s="26"/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</x:row>
    <x:row r="19">
      <x:c r="A19" s="26" t="n">
        <x:f>Funnel!A19</x:f>
        <x:v>16</x:v>
      </x:c>
      <x:c r="B19" s="52" t="n">
        <x:f>Funnel!B19</x:f>
        <x:v>46631</x:v>
      </x:c>
      <x:c r="C19" s="26" t="n">
        <x:f>Funnel!N19</x:f>
        <x:v>95.03999999999999</x:v>
      </x:c>
      <x:c r="D19" s="58" t="n">
        <x:f>INDEX(Scenarios!$B$13:$D$13,1,MATCH(Assumptions!$C$4,Scenarios!$B$3:$D$3,0))</x:f>
        <x:v>6900</x:v>
      </x:c>
      <x:c r="E19" s="54" t="n">
        <x:f>Assumptions!$C$14</x:f>
        <x:v>5</x:v>
      </x:c>
      <x:c r="F19" s="54" t="n">
        <x:f>INDEX(Scenarios!$B$14:$D$14,1,MATCH(Assumptions!$C$4,Scenarios!$B$3:$D$3,0))</x:f>
        <x:v>0.45</x:v>
      </x:c>
      <x:c r="G19" s="54" t="n">
        <x:f>INDEX(Scenarios!$B$15:$D$15,1,MATCH(Assumptions!$C$4,Scenarios!$B$3:$D$3,0))</x:f>
        <x:v>0.1</x:v>
      </x:c>
      <x:c r="H19" s="26" t="n">
        <x:f>D19*E19+Assumptions!$C$12/Assumptions!$C$14*F19+Assumptions!$C$13/12*G19</x:f>
        <x:v>37766</x:v>
      </x:c>
      <x:c r="I19" s="26" t="n">
        <x:f>C19*H19</x:f>
        <x:v>3589280.6399999997</x:v>
      </x:c>
      <x:c r="J19" s="26" t="n">
        <x:f>I19*12</x:f>
        <x:v>43071367.67999999</x:v>
      </x:c>
      <x:c r="K19" s="26" t="n">
        <x:f>Funnel!H19</x:f>
        <x:v>5.940000000000001</x:v>
      </x:c>
      <x:c r="L19" s="26" t="n">
        <x:f>K19*(D19*E19+Assumptions!$C$12*F19+Assumptions!$C$13*G19)</x:f>
        <x:v>325838.70000000007</x:v>
      </x:c>
      <x:c r="M19" s="26" t="n">
        <x:f>SUM($I$4:I19)</x:f>
        <x:v>30508885.439999998</x:v>
      </x:c>
      <x:c r="N19" s="26" t="n">
        <x:f>IFERROR(I19/Funnel!F19,0)</x:f>
        <x:v>66468.15999999999</x:v>
      </x:c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>
      <x:c r="A20" s="26" t="n">
        <x:f>Funnel!A20</x:f>
        <x:v>17</x:v>
      </x:c>
      <x:c r="B20" s="52" t="n">
        <x:f>Funnel!B20</x:f>
        <x:v>46661</x:v>
      </x:c>
      <x:c r="C20" s="26" t="n">
        <x:f>Funnel!N20</x:f>
        <x:v>100.97999999999999</x:v>
      </x:c>
      <x:c r="D20" s="58" t="n">
        <x:f>INDEX(Scenarios!$B$13:$D$13,1,MATCH(Assumptions!$C$4,Scenarios!$B$3:$D$3,0))</x:f>
        <x:v>6900</x:v>
      </x:c>
      <x:c r="E20" s="54" t="n">
        <x:f>Assumptions!$C$14</x:f>
        <x:v>5</x:v>
      </x:c>
      <x:c r="F20" s="54" t="n">
        <x:f>INDEX(Scenarios!$B$14:$D$14,1,MATCH(Assumptions!$C$4,Scenarios!$B$3:$D$3,0))</x:f>
        <x:v>0.45</x:v>
      </x:c>
      <x:c r="G20" s="54" t="n">
        <x:f>INDEX(Scenarios!$B$15:$D$15,1,MATCH(Assumptions!$C$4,Scenarios!$B$3:$D$3,0))</x:f>
        <x:v>0.1</x:v>
      </x:c>
      <x:c r="H20" s="26" t="n">
        <x:f>D20*E20+Assumptions!$C$12/Assumptions!$C$14*F20+Assumptions!$C$13/12*G20</x:f>
        <x:v>37766</x:v>
      </x:c>
      <x:c r="I20" s="26" t="n">
        <x:f>C20*H20</x:f>
        <x:v>3813610.6799999997</x:v>
      </x:c>
      <x:c r="J20" s="26" t="n">
        <x:f>I20*12</x:f>
        <x:v>45763328.16</x:v>
      </x:c>
      <x:c r="K20" s="26" t="n">
        <x:f>Funnel!H20</x:f>
        <x:v>5.940000000000001</x:v>
      </x:c>
      <x:c r="L20" s="26" t="n">
        <x:f>K20*(D20*E20+Assumptions!$C$12*F20+Assumptions!$C$13*G20)</x:f>
        <x:v>325838.70000000007</x:v>
      </x:c>
      <x:c r="M20" s="26" t="n">
        <x:f>SUM($I$4:I20)</x:f>
        <x:v>34322496.12</x:v>
      </x:c>
      <x:c r="N20" s="26" t="n">
        <x:f>IFERROR(I20/Funnel!F20,0)</x:f>
        <x:v>70622.42</x:v>
      </x:c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>
      <x:c r="A21" s="26" t="n">
        <x:f>Funnel!A21</x:f>
        <x:v>18</x:v>
      </x:c>
      <x:c r="B21" s="52" t="n">
        <x:f>Funnel!B21</x:f>
        <x:v>46692</x:v>
      </x:c>
      <x:c r="C21" s="26" t="n">
        <x:f>Funnel!N21</x:f>
        <x:v>106.91999999999999</x:v>
      </x:c>
      <x:c r="D21" s="58" t="n">
        <x:f>INDEX(Scenarios!$B$13:$D$13,1,MATCH(Assumptions!$C$4,Scenarios!$B$3:$D$3,0))</x:f>
        <x:v>6900</x:v>
      </x:c>
      <x:c r="E21" s="54" t="n">
        <x:f>Assumptions!$C$14</x:f>
        <x:v>5</x:v>
      </x:c>
      <x:c r="F21" s="54" t="n">
        <x:f>INDEX(Scenarios!$B$14:$D$14,1,MATCH(Assumptions!$C$4,Scenarios!$B$3:$D$3,0))</x:f>
        <x:v>0.45</x:v>
      </x:c>
      <x:c r="G21" s="54" t="n">
        <x:f>INDEX(Scenarios!$B$15:$D$15,1,MATCH(Assumptions!$C$4,Scenarios!$B$3:$D$3,0))</x:f>
        <x:v>0.1</x:v>
      </x:c>
      <x:c r="H21" s="26" t="n">
        <x:f>D21*E21+Assumptions!$C$12/Assumptions!$C$14*F21+Assumptions!$C$13/12*G21</x:f>
        <x:v>37766</x:v>
      </x:c>
      <x:c r="I21" s="26" t="n">
        <x:f>C21*H21</x:f>
        <x:v>4037940.7199999997</x:v>
      </x:c>
      <x:c r="J21" s="26" t="n">
        <x:f>I21*12</x:f>
        <x:v>48455288.64</x:v>
      </x:c>
      <x:c r="K21" s="26" t="n">
        <x:f>Funnel!H21</x:f>
        <x:v>5.940000000000001</x:v>
      </x:c>
      <x:c r="L21" s="26" t="n">
        <x:f>K21*(D21*E21+Assumptions!$C$12*F21+Assumptions!$C$13*G21)</x:f>
        <x:v>325838.70000000007</x:v>
      </x:c>
      <x:c r="M21" s="26" t="n">
        <x:f>SUM($I$4:I21)</x:f>
        <x:v>38360436.839999996</x:v>
      </x:c>
      <x:c r="N21" s="26" t="n">
        <x:f>IFERROR(I21/Funnel!F21,0)</x:f>
        <x:v>74776.68</x:v>
      </x:c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>
      <x:c r="A22" s="26" t="n">
        <x:f>Funnel!A22</x:f>
        <x:v>19</x:v>
      </x:c>
      <x:c r="B22" s="52" t="n">
        <x:f>Funnel!B22</x:f>
        <x:v>46722</x:v>
      </x:c>
      <x:c r="C22" s="26" t="n">
        <x:f>Funnel!N22</x:f>
        <x:v>112.85999999999999</x:v>
      </x:c>
      <x:c r="D22" s="58" t="n">
        <x:f>INDEX(Scenarios!$B$13:$D$13,1,MATCH(Assumptions!$C$4,Scenarios!$B$3:$D$3,0))</x:f>
        <x:v>6900</x:v>
      </x:c>
      <x:c r="E22" s="54" t="n">
        <x:f>Assumptions!$C$14</x:f>
        <x:v>5</x:v>
      </x:c>
      <x:c r="F22" s="54" t="n">
        <x:f>INDEX(Scenarios!$B$14:$D$14,1,MATCH(Assumptions!$C$4,Scenarios!$B$3:$D$3,0))</x:f>
        <x:v>0.45</x:v>
      </x:c>
      <x:c r="G22" s="54" t="n">
        <x:f>INDEX(Scenarios!$B$15:$D$15,1,MATCH(Assumptions!$C$4,Scenarios!$B$3:$D$3,0))</x:f>
        <x:v>0.1</x:v>
      </x:c>
      <x:c r="H22" s="26" t="n">
        <x:f>D22*E22+Assumptions!$C$12/Assumptions!$C$14*F22+Assumptions!$C$13/12*G22</x:f>
        <x:v>37766</x:v>
      </x:c>
      <x:c r="I22" s="26" t="n">
        <x:f>C22*H22</x:f>
        <x:v>4262270.76</x:v>
      </x:c>
      <x:c r="J22" s="26" t="n">
        <x:f>I22*12</x:f>
        <x:v>51147249.12</x:v>
      </x:c>
      <x:c r="K22" s="26" t="n">
        <x:f>Funnel!H22</x:f>
        <x:v>5.940000000000001</x:v>
      </x:c>
      <x:c r="L22" s="26" t="n">
        <x:f>K22*(D22*E22+Assumptions!$C$12*F22+Assumptions!$C$13*G22)</x:f>
        <x:v>325838.70000000007</x:v>
      </x:c>
      <x:c r="M22" s="26" t="n">
        <x:f>SUM($I$4:I22)</x:f>
        <x:v>42622707.599999994</x:v>
      </x:c>
      <x:c r="N22" s="26" t="n">
        <x:f>IFERROR(I22/Funnel!F22,0)</x:f>
        <x:v>78930.94</x:v>
      </x:c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>
      <x:c r="A23" s="26" t="n">
        <x:f>Funnel!A23</x:f>
        <x:v>20</x:v>
      </x:c>
      <x:c r="B23" s="52" t="n">
        <x:f>Funnel!B23</x:f>
        <x:v>46753</x:v>
      </x:c>
      <x:c r="C23" s="26" t="n">
        <x:f>Funnel!N23</x:f>
        <x:v>118.79999999999998</x:v>
      </x:c>
      <x:c r="D23" s="58" t="n">
        <x:f>INDEX(Scenarios!$B$13:$D$13,1,MATCH(Assumptions!$C$4,Scenarios!$B$3:$D$3,0))</x:f>
        <x:v>6900</x:v>
      </x:c>
      <x:c r="E23" s="54" t="n">
        <x:f>Assumptions!$C$14</x:f>
        <x:v>5</x:v>
      </x:c>
      <x:c r="F23" s="54" t="n">
        <x:f>INDEX(Scenarios!$B$14:$D$14,1,MATCH(Assumptions!$C$4,Scenarios!$B$3:$D$3,0))</x:f>
        <x:v>0.45</x:v>
      </x:c>
      <x:c r="G23" s="54" t="n">
        <x:f>INDEX(Scenarios!$B$15:$D$15,1,MATCH(Assumptions!$C$4,Scenarios!$B$3:$D$3,0))</x:f>
        <x:v>0.1</x:v>
      </x:c>
      <x:c r="H23" s="26" t="n">
        <x:f>D23*E23+Assumptions!$C$12/Assumptions!$C$14*F23+Assumptions!$C$13/12*G23</x:f>
        <x:v>37766</x:v>
      </x:c>
      <x:c r="I23" s="26" t="n">
        <x:f>C23*H23</x:f>
        <x:v>4486600.8</x:v>
      </x:c>
      <x:c r="J23" s="26" t="n">
        <x:f>I23*12</x:f>
        <x:v>53839209.599999994</x:v>
      </x:c>
      <x:c r="K23" s="26" t="n">
        <x:f>Funnel!H23</x:f>
        <x:v>5.940000000000001</x:v>
      </x:c>
      <x:c r="L23" s="26" t="n">
        <x:f>K23*(D23*E23+Assumptions!$C$12*F23+Assumptions!$C$13*G23)</x:f>
        <x:v>325838.70000000007</x:v>
      </x:c>
      <x:c r="M23" s="26" t="n">
        <x:f>SUM($I$4:I23)</x:f>
        <x:v>47109308.39999999</x:v>
      </x:c>
      <x:c r="N23" s="26" t="n">
        <x:f>IFERROR(I23/Funnel!F23,0)</x:f>
        <x:v>83085.2</x:v>
      </x:c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>
      <x:c r="A24" s="26" t="n">
        <x:f>Funnel!A24</x:f>
        <x:v>21</x:v>
      </x:c>
      <x:c r="B24" s="52" t="n">
        <x:f>Funnel!B24</x:f>
        <x:v>46784</x:v>
      </x:c>
      <x:c r="C24" s="26" t="n">
        <x:f>Funnel!N24</x:f>
        <x:v>124.73999999999998</x:v>
      </x:c>
      <x:c r="D24" s="58" t="n">
        <x:f>INDEX(Scenarios!$B$13:$D$13,1,MATCH(Assumptions!$C$4,Scenarios!$B$3:$D$3,0))</x:f>
        <x:v>6900</x:v>
      </x:c>
      <x:c r="E24" s="54" t="n">
        <x:f>Assumptions!$C$14</x:f>
        <x:v>5</x:v>
      </x:c>
      <x:c r="F24" s="54" t="n">
        <x:f>INDEX(Scenarios!$B$14:$D$14,1,MATCH(Assumptions!$C$4,Scenarios!$B$3:$D$3,0))</x:f>
        <x:v>0.45</x:v>
      </x:c>
      <x:c r="G24" s="54" t="n">
        <x:f>INDEX(Scenarios!$B$15:$D$15,1,MATCH(Assumptions!$C$4,Scenarios!$B$3:$D$3,0))</x:f>
        <x:v>0.1</x:v>
      </x:c>
      <x:c r="H24" s="26" t="n">
        <x:f>D24*E24+Assumptions!$C$12/Assumptions!$C$14*F24+Assumptions!$C$13/12*G24</x:f>
        <x:v>37766</x:v>
      </x:c>
      <x:c r="I24" s="26" t="n">
        <x:f>C24*H24</x:f>
        <x:v>4710930.839999999</x:v>
      </x:c>
      <x:c r="J24" s="26" t="n">
        <x:f>I24*12</x:f>
        <x:v>56531170.07999998</x:v>
      </x:c>
      <x:c r="K24" s="26" t="n">
        <x:f>Funnel!H24</x:f>
        <x:v>5.940000000000001</x:v>
      </x:c>
      <x:c r="L24" s="26" t="n">
        <x:f>K24*(D24*E24+Assumptions!$C$12*F24+Assumptions!$C$13*G24)</x:f>
        <x:v>325838.70000000007</x:v>
      </x:c>
      <x:c r="M24" s="26" t="n">
        <x:f>SUM($I$4:I24)</x:f>
        <x:v>51820239.23999999</x:v>
      </x:c>
      <x:c r="N24" s="26" t="n">
        <x:f>IFERROR(I24/Funnel!F24,0)</x:f>
        <x:v>87239.45999999998</x:v>
      </x:c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>
      <x:c r="A25" s="26" t="n">
        <x:f>Funnel!A25</x:f>
        <x:v>22</x:v>
      </x:c>
      <x:c r="B25" s="52" t="n">
        <x:f>Funnel!B25</x:f>
        <x:v>46813</x:v>
      </x:c>
      <x:c r="C25" s="26" t="n">
        <x:f>Funnel!N25</x:f>
        <x:v>130.67999999999998</x:v>
      </x:c>
      <x:c r="D25" s="58" t="n">
        <x:f>INDEX(Scenarios!$B$13:$D$13,1,MATCH(Assumptions!$C$4,Scenarios!$B$3:$D$3,0))</x:f>
        <x:v>6900</x:v>
      </x:c>
      <x:c r="E25" s="54" t="n">
        <x:f>Assumptions!$C$14</x:f>
        <x:v>5</x:v>
      </x:c>
      <x:c r="F25" s="54" t="n">
        <x:f>INDEX(Scenarios!$B$14:$D$14,1,MATCH(Assumptions!$C$4,Scenarios!$B$3:$D$3,0))</x:f>
        <x:v>0.45</x:v>
      </x:c>
      <x:c r="G25" s="54" t="n">
        <x:f>INDEX(Scenarios!$B$15:$D$15,1,MATCH(Assumptions!$C$4,Scenarios!$B$3:$D$3,0))</x:f>
        <x:v>0.1</x:v>
      </x:c>
      <x:c r="H25" s="26" t="n">
        <x:f>D25*E25+Assumptions!$C$12/Assumptions!$C$14*F25+Assumptions!$C$13/12*G25</x:f>
        <x:v>37766</x:v>
      </x:c>
      <x:c r="I25" s="26" t="n">
        <x:f>C25*H25</x:f>
        <x:v>4935260.879999999</x:v>
      </x:c>
      <x:c r="J25" s="26" t="n">
        <x:f>I25*12</x:f>
        <x:v>59223130.55999999</x:v>
      </x:c>
      <x:c r="K25" s="26" t="n">
        <x:f>Funnel!H25</x:f>
        <x:v>5.940000000000001</x:v>
      </x:c>
      <x:c r="L25" s="26" t="n">
        <x:f>K25*(D25*E25+Assumptions!$C$12*F25+Assumptions!$C$13*G25)</x:f>
        <x:v>325838.70000000007</x:v>
      </x:c>
      <x:c r="M25" s="26" t="n">
        <x:f>SUM($I$4:I25)</x:f>
        <x:v>56755500.11999999</x:v>
      </x:c>
      <x:c r="N25" s="26" t="n">
        <x:f>IFERROR(I25/Funnel!F25,0)</x:f>
        <x:v>91393.71999999999</x:v>
      </x:c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>
      <x:c r="A26" s="26" t="n">
        <x:f>Funnel!A26</x:f>
        <x:v>23</x:v>
      </x:c>
      <x:c r="B26" s="52" t="n">
        <x:f>Funnel!B26</x:f>
        <x:v>46844</x:v>
      </x:c>
      <x:c r="C26" s="26" t="n">
        <x:f>Funnel!N26</x:f>
        <x:v>136.61999999999998</x:v>
      </x:c>
      <x:c r="D26" s="58" t="n">
        <x:f>INDEX(Scenarios!$B$13:$D$13,1,MATCH(Assumptions!$C$4,Scenarios!$B$3:$D$3,0))</x:f>
        <x:v>6900</x:v>
      </x:c>
      <x:c r="E26" s="54" t="n">
        <x:f>Assumptions!$C$14</x:f>
        <x:v>5</x:v>
      </x:c>
      <x:c r="F26" s="54" t="n">
        <x:f>INDEX(Scenarios!$B$14:$D$14,1,MATCH(Assumptions!$C$4,Scenarios!$B$3:$D$3,0))</x:f>
        <x:v>0.45</x:v>
      </x:c>
      <x:c r="G26" s="54" t="n">
        <x:f>INDEX(Scenarios!$B$15:$D$15,1,MATCH(Assumptions!$C$4,Scenarios!$B$3:$D$3,0))</x:f>
        <x:v>0.1</x:v>
      </x:c>
      <x:c r="H26" s="26" t="n">
        <x:f>D26*E26+Assumptions!$C$12/Assumptions!$C$14*F26+Assumptions!$C$13/12*G26</x:f>
        <x:v>37766</x:v>
      </x:c>
      <x:c r="I26" s="26" t="n">
        <x:f>C26*H26</x:f>
        <x:v>5159590.919999999</x:v>
      </x:c>
      <x:c r="J26" s="26" t="n">
        <x:f>I26*12</x:f>
        <x:v>61915091.03999999</x:v>
      </x:c>
      <x:c r="K26" s="26" t="n">
        <x:f>Funnel!H26</x:f>
        <x:v>5.940000000000001</x:v>
      </x:c>
      <x:c r="L26" s="26" t="n">
        <x:f>K26*(D26*E26+Assumptions!$C$12*F26+Assumptions!$C$13*G26)</x:f>
        <x:v>325838.70000000007</x:v>
      </x:c>
      <x:c r="M26" s="26" t="n">
        <x:f>SUM($I$4:I26)</x:f>
        <x:v>61915091.03999999</x:v>
      </x:c>
      <x:c r="N26" s="26" t="n">
        <x:f>IFERROR(I26/Funnel!F26,0)</x:f>
        <x:v>95547.97999999998</x:v>
      </x:c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>
      <x:c r="A27" s="26" t="n">
        <x:f>Funnel!A27</x:f>
        <x:v>24</x:v>
      </x:c>
      <x:c r="B27" s="52" t="n">
        <x:f>Funnel!B27</x:f>
        <x:v>46874</x:v>
      </x:c>
      <x:c r="C27" s="26" t="n">
        <x:f>Funnel!N27</x:f>
        <x:v>142.55999999999997</x:v>
      </x:c>
      <x:c r="D27" s="58" t="n">
        <x:f>INDEX(Scenarios!$B$13:$D$13,1,MATCH(Assumptions!$C$4,Scenarios!$B$3:$D$3,0))</x:f>
        <x:v>6900</x:v>
      </x:c>
      <x:c r="E27" s="54" t="n">
        <x:f>Assumptions!$C$14</x:f>
        <x:v>5</x:v>
      </x:c>
      <x:c r="F27" s="54" t="n">
        <x:f>INDEX(Scenarios!$B$14:$D$14,1,MATCH(Assumptions!$C$4,Scenarios!$B$3:$D$3,0))</x:f>
        <x:v>0.45</x:v>
      </x:c>
      <x:c r="G27" s="54" t="n">
        <x:f>INDEX(Scenarios!$B$15:$D$15,1,MATCH(Assumptions!$C$4,Scenarios!$B$3:$D$3,0))</x:f>
        <x:v>0.1</x:v>
      </x:c>
      <x:c r="H27" s="26" t="n">
        <x:f>D27*E27+Assumptions!$C$12/Assumptions!$C$14*F27+Assumptions!$C$13/12*G27</x:f>
        <x:v>37766</x:v>
      </x:c>
      <x:c r="I27" s="26" t="n">
        <x:f>C27*H27</x:f>
        <x:v>5383920.959999999</x:v>
      </x:c>
      <x:c r="J27" s="26" t="n">
        <x:f>I27*12</x:f>
        <x:v>64607051.51999999</x:v>
      </x:c>
      <x:c r="K27" s="26" t="n">
        <x:f>Funnel!H27</x:f>
        <x:v>5.940000000000001</x:v>
      </x:c>
      <x:c r="L27" s="26" t="n">
        <x:f>K27*(D27*E27+Assumptions!$C$12*F27+Assumptions!$C$13*G27)</x:f>
        <x:v>325838.70000000007</x:v>
      </x:c>
      <x:c r="M27" s="26" t="n">
        <x:f>SUM($I$4:I27)</x:f>
        <x:v>67299011.99999999</x:v>
      </x:c>
      <x:c r="N27" s="26" t="n">
        <x:f>IFERROR(I27/Funnel!F27,0)</x:f>
        <x:v>99702.23999999998</x:v>
      </x:c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>
      <x:c r="A28" s="26"/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>
      <x:c r="A29" s="26"/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>
      <x:c r="A30" s="26"/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>
      <x:c r="A31" s="26"/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>
      <x:c r="A32" s="26"/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>
      <x:c r="A33" s="26"/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</x:row>
    <x:row r="34">
      <x:c r="A34" s="26"/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</x:row>
    <x:row r="35">
      <x:c r="A35" s="26"/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</x:row>
    <x:row r="36">
      <x:c r="A36" s="26"/>
      <x:c r="B36" s="26"/>
      <x:c r="C36" s="26"/>
      <x:c r="D36" s="26"/>
      <x:c r="E36" s="26"/>
      <x:c r="F36" s="26"/>
      <x:c r="G36" s="26"/>
      <x:c r="H36" s="26"/>
      <x:c r="I36" s="26"/>
      <x:c r="J36" s="26"/>
      <x:c r="K36" s="26"/>
      <x:c r="L36" s="26"/>
      <x:c r="M36" s="26"/>
      <x:c r="N36" s="26"/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</x:row>
    <x:row r="37">
      <x:c r="A37" s="26"/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  <x:c r="L37" s="26"/>
      <x:c r="M37" s="26"/>
      <x:c r="N37" s="26"/>
      <x:c r="O37" s="26"/>
      <x:c r="P37" s="26"/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</x:row>
    <x:row r="38">
      <x:c r="A38" s="26"/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</x:row>
    <x:row r="39">
      <x:c r="A39" s="26"/>
      <x:c r="B39" s="26"/>
      <x:c r="C39" s="26"/>
      <x:c r="D39" s="26"/>
      <x:c r="E39" s="26"/>
      <x:c r="F39" s="26"/>
      <x:c r="G39" s="26"/>
      <x:c r="H39" s="26"/>
      <x:c r="I39" s="26"/>
      <x:c r="J39" s="26"/>
      <x:c r="K39" s="26"/>
      <x:c r="L39" s="26"/>
      <x:c r="M39" s="26"/>
      <x:c r="N39" s="26"/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</x:row>
    <x:row r="40">
      <x:c r="A40" s="26"/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  <x:c r="L40" s="26"/>
      <x:c r="M40" s="26"/>
      <x:c r="N40" s="26"/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</x:row>
    <x:row r="41">
      <x:c r="A41" s="26"/>
      <x:c r="B41" s="26"/>
      <x:c r="C41" s="26"/>
      <x:c r="D41" s="26"/>
      <x:c r="E41" s="26"/>
      <x:c r="F41" s="26"/>
      <x:c r="G41" s="26"/>
      <x:c r="H41" s="26"/>
      <x:c r="I41" s="26"/>
      <x:c r="J41" s="26"/>
      <x:c r="K41" s="26"/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</x:row>
    <x:row r="42">
      <x:c r="A42" s="26"/>
      <x:c r="B42" s="26"/>
      <x:c r="C42" s="26"/>
      <x:c r="D42" s="26"/>
      <x:c r="E42" s="26"/>
      <x:c r="F42" s="26"/>
      <x:c r="G42" s="26"/>
      <x:c r="H42" s="26"/>
      <x:c r="I42" s="26"/>
      <x:c r="J42" s="26"/>
      <x:c r="K42" s="26"/>
      <x:c r="L42" s="26"/>
      <x:c r="M42" s="26"/>
      <x:c r="N42" s="26"/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</x:row>
    <x:row r="43">
      <x:c r="A43" s="26"/>
      <x:c r="B43" s="26"/>
      <x:c r="C43" s="26"/>
      <x:c r="D43" s="26"/>
      <x:c r="E43" s="26"/>
      <x:c r="F43" s="26"/>
      <x:c r="G43" s="26"/>
      <x:c r="H43" s="26"/>
      <x:c r="I43" s="26"/>
      <x:c r="J43" s="26"/>
      <x:c r="K43" s="26"/>
      <x:c r="L43" s="26"/>
      <x:c r="M43" s="26"/>
      <x:c r="N43" s="26"/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</x:row>
    <x:row r="44">
      <x:c r="A44" s="26"/>
      <x:c r="B44" s="26"/>
      <x:c r="C44" s="26"/>
      <x:c r="D44" s="26"/>
      <x:c r="E44" s="26"/>
      <x:c r="F44" s="26"/>
      <x:c r="G44" s="26"/>
      <x:c r="H44" s="26"/>
      <x:c r="I44" s="26"/>
      <x:c r="J44" s="26"/>
      <x:c r="K44" s="26"/>
      <x:c r="L44" s="26"/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</x:row>
    <x:row r="45">
      <x:c r="A45" s="26"/>
      <x:c r="B45" s="26"/>
      <x:c r="C45" s="26"/>
      <x:c r="D45" s="26"/>
      <x:c r="E45" s="26"/>
      <x:c r="F45" s="26"/>
      <x:c r="G45" s="26"/>
      <x:c r="H45" s="26"/>
      <x:c r="I45" s="26"/>
      <x:c r="J45" s="26"/>
      <x:c r="K45" s="26"/>
      <x:c r="L45" s="26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</x:row>
    <x:row r="46">
      <x:c r="A46" s="26"/>
      <x:c r="B46" s="26"/>
      <x:c r="C46" s="26"/>
      <x:c r="D46" s="26"/>
      <x:c r="E46" s="26"/>
      <x:c r="F46" s="26"/>
      <x:c r="G46" s="26"/>
      <x:c r="H46" s="26"/>
      <x:c r="I46" s="26"/>
      <x:c r="J46" s="26"/>
      <x:c r="K46" s="26"/>
      <x:c r="L46" s="26"/>
      <x:c r="M46" s="26"/>
      <x:c r="N46" s="26"/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</x:row>
    <x:row r="47">
      <x:c r="A47" s="26"/>
      <x:c r="B47" s="26"/>
      <x:c r="C47" s="26"/>
      <x:c r="D47" s="26"/>
      <x:c r="E47" s="26"/>
      <x:c r="F47" s="26"/>
      <x:c r="G47" s="26"/>
      <x:c r="H47" s="26"/>
      <x:c r="I47" s="26"/>
      <x:c r="J47" s="26"/>
      <x:c r="K47" s="26"/>
      <x:c r="L47" s="26"/>
      <x:c r="M47" s="26"/>
      <x:c r="N47" s="26"/>
      <x:c r="O47" s="26"/>
      <x:c r="P47" s="26"/>
      <x:c r="Q47" s="26"/>
      <x:c r="R47" s="26"/>
      <x:c r="S47" s="26"/>
      <x:c r="T47" s="26"/>
      <x:c r="U47" s="26"/>
      <x:c r="V47" s="26"/>
      <x:c r="W47" s="26"/>
      <x:c r="X47" s="26"/>
      <x:c r="Y47" s="26"/>
      <x:c r="Z47" s="26"/>
    </x:row>
    <x:row r="48">
      <x:c r="A48" s="26"/>
      <x:c r="B48" s="26"/>
      <x:c r="C48" s="26"/>
      <x:c r="D48" s="26"/>
      <x:c r="E48" s="26"/>
      <x:c r="F48" s="26"/>
      <x:c r="G48" s="26"/>
      <x:c r="H48" s="26"/>
      <x:c r="I48" s="26"/>
      <x:c r="J48" s="26"/>
      <x:c r="K48" s="26"/>
      <x:c r="L48" s="26"/>
      <x:c r="M48" s="26"/>
      <x:c r="N48" s="26"/>
      <x:c r="O48" s="26"/>
      <x:c r="P48" s="26"/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</x:row>
    <x:row r="49">
      <x:c r="A49" s="26"/>
      <x:c r="B49" s="26"/>
      <x:c r="C49" s="26"/>
      <x:c r="D49" s="26"/>
      <x:c r="E49" s="26"/>
      <x:c r="F49" s="26"/>
      <x:c r="G49" s="26"/>
      <x:c r="H49" s="26"/>
      <x:c r="I49" s="26"/>
      <x:c r="J49" s="26"/>
      <x:c r="K49" s="26"/>
      <x:c r="L49" s="26"/>
      <x:c r="M49" s="26"/>
      <x:c r="N49" s="26"/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</x:row>
    <x:row r="50">
      <x:c r="A50" s="26"/>
      <x:c r="B50" s="26"/>
      <x:c r="C50" s="26"/>
      <x:c r="D50" s="26"/>
      <x:c r="E50" s="26"/>
      <x:c r="F50" s="26"/>
      <x:c r="G50" s="26"/>
      <x:c r="H50" s="26"/>
      <x:c r="I50" s="26"/>
      <x:c r="J50" s="26"/>
      <x:c r="K50" s="26"/>
      <x:c r="L50" s="26"/>
      <x:c r="M50" s="26"/>
      <x:c r="N50" s="26"/>
      <x:c r="O50" s="26"/>
      <x:c r="P50" s="26"/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</x:row>
    <x:row r="51">
      <x:c r="A51" s="26"/>
      <x:c r="B51" s="26"/>
      <x:c r="C51" s="26"/>
      <x:c r="D51" s="26"/>
      <x:c r="E51" s="26"/>
      <x:c r="F51" s="26"/>
      <x:c r="G51" s="26"/>
      <x:c r="H51" s="26"/>
      <x:c r="I51" s="26"/>
      <x:c r="J51" s="26"/>
      <x:c r="K51" s="26"/>
      <x:c r="L51" s="26"/>
      <x:c r="M51" s="26"/>
      <x:c r="N51" s="26"/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</x:row>
    <x:row r="52">
      <x:c r="A52" s="26"/>
      <x:c r="B52" s="26"/>
      <x:c r="C52" s="26"/>
      <x:c r="D52" s="26"/>
      <x:c r="E52" s="26"/>
      <x:c r="F52" s="26"/>
      <x:c r="G52" s="26"/>
      <x:c r="H52" s="26"/>
      <x:c r="I52" s="26"/>
      <x:c r="J52" s="26"/>
      <x:c r="K52" s="26"/>
      <x:c r="L52" s="26"/>
      <x:c r="M52" s="26"/>
      <x:c r="N52" s="26"/>
      <x:c r="O52" s="26"/>
      <x:c r="P52" s="26"/>
      <x:c r="Q52" s="26"/>
      <x:c r="R52" s="26"/>
      <x:c r="S52" s="26"/>
      <x:c r="T52" s="26"/>
      <x:c r="U52" s="26"/>
      <x:c r="V52" s="26"/>
      <x:c r="W52" s="26"/>
      <x:c r="X52" s="26"/>
      <x:c r="Y52" s="26"/>
      <x:c r="Z52" s="26"/>
    </x:row>
    <x:row r="53">
      <x:c r="A53" s="26"/>
      <x:c r="B53" s="26"/>
      <x:c r="C53" s="26"/>
      <x:c r="D53" s="26"/>
      <x:c r="E53" s="26"/>
      <x:c r="F53" s="26"/>
      <x:c r="G53" s="26"/>
      <x:c r="H53" s="26"/>
      <x:c r="I53" s="26"/>
      <x:c r="J53" s="26"/>
      <x:c r="K53" s="26"/>
      <x:c r="L53" s="26"/>
      <x:c r="M53" s="26"/>
      <x:c r="N53" s="26"/>
      <x:c r="O53" s="26"/>
      <x:c r="P53" s="26"/>
      <x:c r="Q53" s="26"/>
      <x:c r="R53" s="26"/>
      <x:c r="S53" s="26"/>
      <x:c r="T53" s="26"/>
      <x:c r="U53" s="26"/>
      <x:c r="V53" s="26"/>
      <x:c r="W53" s="26"/>
      <x:c r="X53" s="26"/>
      <x:c r="Y53" s="26"/>
      <x:c r="Z53" s="26"/>
    </x:row>
    <x:row r="54">
      <x:c r="A54" s="26"/>
      <x:c r="B54" s="26"/>
      <x:c r="C54" s="26"/>
      <x:c r="D54" s="26"/>
      <x:c r="E54" s="26"/>
      <x:c r="F54" s="26"/>
      <x:c r="G54" s="26"/>
      <x:c r="H54" s="26"/>
      <x:c r="I54" s="26"/>
      <x:c r="J54" s="26"/>
      <x:c r="K54" s="26"/>
      <x:c r="L54" s="26"/>
      <x:c r="M54" s="26"/>
      <x:c r="N54" s="26"/>
      <x:c r="O54" s="26"/>
      <x:c r="P54" s="26"/>
      <x:c r="Q54" s="26"/>
      <x:c r="R54" s="26"/>
      <x:c r="S54" s="26"/>
      <x:c r="T54" s="26"/>
      <x:c r="U54" s="26"/>
      <x:c r="V54" s="26"/>
      <x:c r="W54" s="26"/>
      <x:c r="X54" s="26"/>
      <x:c r="Y54" s="26"/>
      <x:c r="Z54" s="26"/>
    </x:row>
    <x:row r="55">
      <x:c r="A55" s="26"/>
      <x:c r="B55" s="26"/>
      <x:c r="C55" s="26"/>
      <x:c r="D55" s="26"/>
      <x:c r="E55" s="26"/>
      <x:c r="F55" s="26"/>
      <x:c r="G55" s="26"/>
      <x:c r="H55" s="26"/>
      <x:c r="I55" s="26"/>
      <x:c r="J55" s="26"/>
      <x:c r="K55" s="26"/>
      <x:c r="L55" s="26"/>
      <x:c r="M55" s="26"/>
      <x:c r="N55" s="26"/>
      <x:c r="O55" s="26"/>
      <x:c r="P55" s="26"/>
      <x:c r="Q55" s="26"/>
      <x:c r="R55" s="26"/>
      <x:c r="S55" s="26"/>
      <x:c r="T55" s="26"/>
      <x:c r="U55" s="26"/>
      <x:c r="V55" s="26"/>
      <x:c r="W55" s="26"/>
      <x:c r="X55" s="26"/>
      <x:c r="Y55" s="26"/>
      <x:c r="Z55" s="26"/>
    </x:row>
    <x:row r="56">
      <x:c r="A56" s="26"/>
      <x:c r="B56" s="26"/>
      <x:c r="C56" s="26"/>
      <x:c r="D56" s="26"/>
      <x:c r="E56" s="26"/>
      <x:c r="F56" s="26"/>
      <x:c r="G56" s="26"/>
      <x:c r="H56" s="26"/>
      <x:c r="I56" s="26"/>
      <x:c r="J56" s="26"/>
      <x:c r="K56" s="26"/>
      <x:c r="L56" s="26"/>
      <x:c r="M56" s="26"/>
      <x:c r="N56" s="26"/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</x:row>
    <x:row r="57">
      <x:c r="A57" s="26"/>
      <x:c r="B57" s="26"/>
      <x:c r="C57" s="26"/>
      <x:c r="D57" s="26"/>
      <x:c r="E57" s="26"/>
      <x:c r="F57" s="26"/>
      <x:c r="G57" s="26"/>
      <x:c r="H57" s="26"/>
      <x:c r="I57" s="26"/>
      <x:c r="J57" s="26"/>
      <x:c r="K57" s="26"/>
      <x:c r="L57" s="26"/>
      <x:c r="M57" s="26"/>
      <x:c r="N57" s="26"/>
      <x:c r="O57" s="26"/>
      <x:c r="P57" s="26"/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</x:row>
    <x:row r="58">
      <x:c r="A58" s="26"/>
      <x:c r="B58" s="26"/>
      <x:c r="C58" s="26"/>
      <x:c r="D58" s="26"/>
      <x:c r="E58" s="26"/>
      <x:c r="F58" s="26"/>
      <x:c r="G58" s="26"/>
      <x:c r="H58" s="26"/>
      <x:c r="I58" s="26"/>
      <x:c r="J58" s="26"/>
      <x:c r="K58" s="26"/>
      <x:c r="L58" s="26"/>
      <x:c r="M58" s="26"/>
      <x:c r="N58" s="26"/>
      <x:c r="O58" s="26"/>
      <x:c r="P58" s="26"/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</x:row>
    <x:row r="59">
      <x:c r="A59" s="26"/>
      <x:c r="B59" s="26"/>
      <x:c r="C59" s="26"/>
      <x:c r="D59" s="26"/>
      <x:c r="E59" s="26"/>
      <x:c r="F59" s="26"/>
      <x:c r="G59" s="26"/>
      <x:c r="H59" s="26"/>
      <x:c r="I59" s="26"/>
      <x:c r="J59" s="26"/>
      <x:c r="K59" s="26"/>
      <x:c r="L59" s="26"/>
      <x:c r="M59" s="26"/>
      <x:c r="N59" s="26"/>
      <x:c r="O59" s="26"/>
      <x:c r="P59" s="26"/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</x:row>
    <x:row r="60">
      <x:c r="A60" s="26"/>
      <x:c r="B60" s="26"/>
      <x:c r="C60" s="26"/>
      <x:c r="D60" s="26"/>
      <x:c r="E60" s="26"/>
      <x:c r="F60" s="26"/>
      <x:c r="G60" s="26"/>
      <x:c r="H60" s="26"/>
      <x:c r="I60" s="26"/>
      <x:c r="J60" s="26"/>
      <x:c r="K60" s="26"/>
      <x:c r="L60" s="26"/>
      <x:c r="M60" s="26"/>
      <x:c r="N60" s="26"/>
      <x:c r="O60" s="26"/>
      <x:c r="P60" s="26"/>
      <x:c r="Q60" s="26"/>
      <x:c r="R60" s="26"/>
      <x:c r="S60" s="26"/>
      <x:c r="T60" s="26"/>
      <x:c r="U60" s="26"/>
      <x:c r="V60" s="26"/>
      <x:c r="W60" s="26"/>
      <x:c r="X60" s="26"/>
      <x:c r="Y60" s="26"/>
      <x:c r="Z60" s="26"/>
    </x:row>
    <x:row r="61">
      <x:c r="A61" s="26"/>
      <x:c r="B61" s="26"/>
      <x:c r="C61" s="26"/>
      <x:c r="D61" s="26"/>
      <x:c r="E61" s="26"/>
      <x:c r="F61" s="26"/>
      <x:c r="G61" s="26"/>
      <x:c r="H61" s="26"/>
      <x:c r="I61" s="26"/>
      <x:c r="J61" s="26"/>
      <x:c r="K61" s="26"/>
      <x:c r="L61" s="26"/>
      <x:c r="M61" s="26"/>
      <x:c r="N61" s="26"/>
      <x:c r="O61" s="26"/>
      <x:c r="P61" s="26"/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</x:row>
    <x:row r="62">
      <x:c r="A62" s="26"/>
      <x:c r="B62" s="26"/>
      <x:c r="C62" s="26"/>
      <x:c r="D62" s="26"/>
      <x:c r="E62" s="26"/>
      <x:c r="F62" s="26"/>
      <x:c r="G62" s="26"/>
      <x:c r="H62" s="26"/>
      <x:c r="I62" s="26"/>
      <x:c r="J62" s="26"/>
      <x:c r="K62" s="26"/>
      <x:c r="L62" s="26"/>
      <x:c r="M62" s="26"/>
      <x:c r="N62" s="26"/>
      <x:c r="O62" s="26"/>
      <x:c r="P62" s="26"/>
      <x:c r="Q62" s="26"/>
      <x:c r="R62" s="26"/>
      <x:c r="S62" s="26"/>
      <x:c r="T62" s="26"/>
      <x:c r="U62" s="26"/>
      <x:c r="V62" s="26"/>
      <x:c r="W62" s="26"/>
      <x:c r="X62" s="26"/>
      <x:c r="Y62" s="26"/>
      <x:c r="Z62" s="26"/>
    </x:row>
    <x:row r="63">
      <x:c r="A63" s="26"/>
      <x:c r="B63" s="26"/>
      <x:c r="C63" s="26"/>
      <x:c r="D63" s="26"/>
      <x:c r="E63" s="26"/>
      <x:c r="F63" s="26"/>
      <x:c r="G63" s="26"/>
      <x:c r="H63" s="26"/>
      <x:c r="I63" s="26"/>
      <x:c r="J63" s="26"/>
      <x:c r="K63" s="26"/>
      <x:c r="L63" s="26"/>
      <x:c r="M63" s="26"/>
      <x:c r="N63" s="26"/>
      <x:c r="O63" s="26"/>
      <x:c r="P63" s="26"/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</x:row>
    <x:row r="64">
      <x:c r="A64" s="26"/>
      <x:c r="B64" s="26"/>
      <x:c r="C64" s="26"/>
      <x:c r="D64" s="26"/>
      <x:c r="E64" s="26"/>
      <x:c r="F64" s="26"/>
      <x:c r="G64" s="26"/>
      <x:c r="H64" s="26"/>
      <x:c r="I64" s="26"/>
      <x:c r="J64" s="26"/>
      <x:c r="K64" s="26"/>
      <x:c r="L64" s="26"/>
      <x:c r="M64" s="26"/>
      <x:c r="N64" s="26"/>
      <x:c r="O64" s="26"/>
      <x:c r="P64" s="26"/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</x:row>
    <x:row r="65">
      <x:c r="A65" s="26"/>
      <x:c r="B65" s="26"/>
      <x:c r="C65" s="26"/>
      <x:c r="D65" s="26"/>
      <x:c r="E65" s="26"/>
      <x:c r="F65" s="26"/>
      <x:c r="G65" s="26"/>
      <x:c r="H65" s="26"/>
      <x:c r="I65" s="26"/>
      <x:c r="J65" s="26"/>
      <x:c r="K65" s="26"/>
      <x:c r="L65" s="26"/>
      <x:c r="M65" s="26"/>
      <x:c r="N65" s="26"/>
      <x:c r="O65" s="26"/>
      <x:c r="P65" s="26"/>
      <x:c r="Q65" s="26"/>
      <x:c r="R65" s="26"/>
      <x:c r="S65" s="26"/>
      <x:c r="T65" s="26"/>
      <x:c r="U65" s="26"/>
      <x:c r="V65" s="26"/>
      <x:c r="W65" s="26"/>
      <x:c r="X65" s="26"/>
      <x:c r="Y65" s="26"/>
      <x:c r="Z65" s="26"/>
    </x:row>
    <x:row r="66">
      <x:c r="A66" s="26"/>
      <x:c r="B66" s="26"/>
      <x:c r="C66" s="26"/>
      <x:c r="D66" s="26"/>
      <x:c r="E66" s="26"/>
      <x:c r="F66" s="26"/>
      <x:c r="G66" s="26"/>
      <x:c r="H66" s="26"/>
      <x:c r="I66" s="26"/>
      <x:c r="J66" s="26"/>
      <x:c r="K66" s="26"/>
      <x:c r="L66" s="26"/>
      <x:c r="M66" s="26"/>
      <x:c r="N66" s="26"/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</x:row>
    <x:row r="67">
      <x:c r="A67" s="26"/>
      <x:c r="B67" s="26"/>
      <x:c r="C67" s="26"/>
      <x:c r="D67" s="26"/>
      <x:c r="E67" s="26"/>
      <x:c r="F67" s="26"/>
      <x:c r="G67" s="26"/>
      <x:c r="H67" s="26"/>
      <x:c r="I67" s="26"/>
      <x:c r="J67" s="26"/>
      <x:c r="K67" s="26"/>
      <x:c r="L67" s="26"/>
      <x:c r="M67" s="26"/>
      <x:c r="N67" s="26"/>
      <x:c r="O67" s="26"/>
      <x:c r="P67" s="26"/>
      <x:c r="Q67" s="26"/>
      <x:c r="R67" s="26"/>
      <x:c r="S67" s="26"/>
      <x:c r="T67" s="26"/>
      <x:c r="U67" s="26"/>
      <x:c r="V67" s="26"/>
      <x:c r="W67" s="26"/>
      <x:c r="X67" s="26"/>
      <x:c r="Y67" s="26"/>
      <x:c r="Z67" s="26"/>
    </x:row>
    <x:row r="68">
      <x:c r="A68" s="26"/>
      <x:c r="B68" s="26"/>
      <x:c r="C68" s="26"/>
      <x:c r="D68" s="26"/>
      <x:c r="E68" s="26"/>
      <x:c r="F68" s="26"/>
      <x:c r="G68" s="26"/>
      <x:c r="H68" s="26"/>
      <x:c r="I68" s="26"/>
      <x:c r="J68" s="26"/>
      <x:c r="K68" s="26"/>
      <x:c r="L68" s="26"/>
      <x:c r="M68" s="26"/>
      <x:c r="N68" s="26"/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6"/>
      <x:c r="Z68" s="26"/>
    </x:row>
    <x:row r="69">
      <x:c r="A69" s="26"/>
      <x:c r="B69" s="26"/>
      <x:c r="C69" s="26"/>
      <x:c r="D69" s="26"/>
      <x:c r="E69" s="26"/>
      <x:c r="F69" s="26"/>
      <x:c r="G69" s="26"/>
      <x:c r="H69" s="26"/>
      <x:c r="I69" s="26"/>
      <x:c r="J69" s="26"/>
      <x:c r="K69" s="26"/>
      <x:c r="L69" s="26"/>
      <x:c r="M69" s="26"/>
      <x:c r="N69" s="26"/>
      <x:c r="O69" s="26"/>
      <x:c r="P69" s="26"/>
      <x:c r="Q69" s="26"/>
      <x:c r="R69" s="26"/>
      <x:c r="S69" s="26"/>
      <x:c r="T69" s="26"/>
      <x:c r="U69" s="26"/>
      <x:c r="V69" s="26"/>
      <x:c r="W69" s="26"/>
      <x:c r="X69" s="26"/>
      <x:c r="Y69" s="26"/>
      <x:c r="Z69" s="26"/>
    </x:row>
    <x:row r="70">
      <x:c r="A70" s="26"/>
      <x:c r="B70" s="26"/>
      <x:c r="C70" s="26"/>
      <x:c r="D70" s="26"/>
      <x:c r="E70" s="26"/>
      <x:c r="F70" s="26"/>
      <x:c r="G70" s="26"/>
      <x:c r="H70" s="26"/>
      <x:c r="I70" s="26"/>
      <x:c r="J70" s="26"/>
      <x:c r="K70" s="26"/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</x:row>
    <x:row r="71">
      <x:c r="A71" s="26"/>
      <x:c r="B71" s="26"/>
      <x:c r="C71" s="26"/>
      <x:c r="D71" s="26"/>
      <x:c r="E71" s="26"/>
      <x:c r="F71" s="26"/>
      <x:c r="G71" s="26"/>
      <x:c r="H71" s="26"/>
      <x:c r="I71" s="26"/>
      <x:c r="J71" s="26"/>
      <x:c r="K71" s="26"/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6"/>
      <x:c r="Z71" s="26"/>
    </x:row>
    <x:row r="72">
      <x:c r="A72" s="26"/>
      <x:c r="B72" s="26"/>
      <x:c r="C72" s="26"/>
      <x:c r="D72" s="26"/>
      <x:c r="E72" s="26"/>
      <x:c r="F72" s="26"/>
      <x:c r="G72" s="26"/>
      <x:c r="H72" s="26"/>
      <x:c r="I72" s="26"/>
      <x:c r="J72" s="26"/>
      <x:c r="K72" s="26"/>
      <x:c r="L72" s="26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/>
      <x:c r="Y72" s="26"/>
      <x:c r="Z72" s="26"/>
    </x:row>
    <x:row r="73">
      <x:c r="A73" s="26"/>
      <x:c r="B73" s="26"/>
      <x:c r="C73" s="26"/>
      <x:c r="D73" s="26"/>
      <x:c r="E73" s="26"/>
      <x:c r="F73" s="26"/>
      <x:c r="G73" s="26"/>
      <x:c r="H73" s="26"/>
      <x:c r="I73" s="26"/>
      <x:c r="J73" s="26"/>
      <x:c r="K73" s="26"/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</x:row>
    <x:row r="74">
      <x:c r="A74" s="26"/>
      <x:c r="B74" s="26"/>
      <x:c r="C74" s="26"/>
      <x:c r="D74" s="26"/>
      <x:c r="E74" s="26"/>
      <x:c r="F74" s="26"/>
      <x:c r="G74" s="26"/>
      <x:c r="H74" s="26"/>
      <x:c r="I74" s="26"/>
      <x:c r="J74" s="26"/>
      <x:c r="K74" s="26"/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6"/>
      <x:c r="Z74" s="26"/>
    </x:row>
    <x:row r="75">
      <x:c r="A75" s="26"/>
      <x:c r="B75" s="26"/>
      <x:c r="C75" s="26"/>
      <x:c r="D75" s="26"/>
      <x:c r="E75" s="26"/>
      <x:c r="F75" s="26"/>
      <x:c r="G75" s="26"/>
      <x:c r="H75" s="26"/>
      <x:c r="I75" s="26"/>
      <x:c r="J75" s="26"/>
      <x:c r="K75" s="26"/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6"/>
      <x:c r="Z75" s="26"/>
    </x:row>
    <x:row r="76">
      <x:c r="A76" s="26"/>
      <x:c r="B76" s="26"/>
      <x:c r="C76" s="26"/>
      <x:c r="D76" s="26"/>
      <x:c r="E76" s="26"/>
      <x:c r="F76" s="26"/>
      <x:c r="G76" s="26"/>
      <x:c r="H76" s="26"/>
      <x:c r="I76" s="26"/>
      <x:c r="J76" s="26"/>
      <x:c r="K76" s="26"/>
      <x:c r="L76" s="26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6"/>
      <x:c r="Z76" s="26"/>
    </x:row>
    <x:row r="77">
      <x:c r="A77" s="26"/>
      <x:c r="B77" s="26"/>
      <x:c r="C77" s="26"/>
      <x:c r="D77" s="26"/>
      <x:c r="E77" s="26"/>
      <x:c r="F77" s="26"/>
      <x:c r="G77" s="26"/>
      <x:c r="H77" s="26"/>
      <x:c r="I77" s="26"/>
      <x:c r="J77" s="26"/>
      <x:c r="K77" s="26"/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</x:row>
    <x:row r="78">
      <x:c r="A78" s="26"/>
      <x:c r="B78" s="26"/>
      <x:c r="C78" s="26"/>
      <x:c r="D78" s="26"/>
      <x:c r="E78" s="26"/>
      <x:c r="F78" s="26"/>
      <x:c r="G78" s="26"/>
      <x:c r="H78" s="26"/>
      <x:c r="I78" s="26"/>
      <x:c r="J78" s="26"/>
      <x:c r="K78" s="26"/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6"/>
      <x:c r="Z78" s="26"/>
    </x:row>
    <x:row r="79">
      <x:c r="A79" s="26"/>
      <x:c r="B79" s="26"/>
      <x:c r="C79" s="26"/>
      <x:c r="D79" s="26"/>
      <x:c r="E79" s="26"/>
      <x:c r="F79" s="26"/>
      <x:c r="G79" s="26"/>
      <x:c r="H79" s="26"/>
      <x:c r="I79" s="26"/>
      <x:c r="J79" s="26"/>
      <x:c r="K79" s="26"/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/>
      <x:c r="Z79" s="26"/>
    </x:row>
    <x:row r="80">
      <x:c r="A80" s="26"/>
      <x:c r="B80" s="26"/>
      <x:c r="C80" s="26"/>
      <x:c r="D80" s="26"/>
      <x:c r="E80" s="26"/>
      <x:c r="F80" s="26"/>
      <x:c r="G80" s="26"/>
      <x:c r="H80" s="26"/>
      <x:c r="I80" s="26"/>
      <x:c r="J80" s="26"/>
      <x:c r="K80" s="26"/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</x:row>
    <x:row r="81">
      <x:c r="A81" s="26"/>
      <x:c r="B81" s="26"/>
      <x:c r="C81" s="26"/>
      <x:c r="D81" s="26"/>
      <x:c r="E81" s="26"/>
      <x:c r="F81" s="26"/>
      <x:c r="G81" s="26"/>
      <x:c r="H81" s="26"/>
      <x:c r="I81" s="26"/>
      <x:c r="J81" s="26"/>
      <x:c r="K81" s="26"/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  <x:c r="Z81" s="26"/>
    </x:row>
    <x:row r="82">
      <x:c r="A82" s="26"/>
      <x:c r="B82" s="26"/>
      <x:c r="C82" s="26"/>
      <x:c r="D82" s="26"/>
      <x:c r="E82" s="26"/>
      <x:c r="F82" s="26"/>
      <x:c r="G82" s="26"/>
      <x:c r="H82" s="26"/>
      <x:c r="I82" s="26"/>
      <x:c r="J82" s="26"/>
      <x:c r="K82" s="26"/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</x:row>
    <x:row r="83">
      <x:c r="A83" s="26"/>
      <x:c r="B83" s="26"/>
      <x:c r="C83" s="26"/>
      <x:c r="D83" s="26"/>
      <x:c r="E83" s="26"/>
      <x:c r="F83" s="26"/>
      <x:c r="G83" s="26"/>
      <x:c r="H83" s="26"/>
      <x:c r="I83" s="26"/>
      <x:c r="J83" s="26"/>
      <x:c r="K83" s="26"/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6"/>
    </x:row>
    <x:row r="84">
      <x:c r="A84" s="26"/>
      <x:c r="B84" s="26"/>
      <x:c r="C84" s="26"/>
      <x:c r="D84" s="26"/>
      <x:c r="E84" s="26"/>
      <x:c r="F84" s="26"/>
      <x:c r="G84" s="26"/>
      <x:c r="H84" s="26"/>
      <x:c r="I84" s="26"/>
      <x:c r="J84" s="26"/>
      <x:c r="K84" s="26"/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6"/>
    </x:row>
    <x:row r="85">
      <x:c r="A85" s="26"/>
      <x:c r="B85" s="26"/>
      <x:c r="C85" s="26"/>
      <x:c r="D85" s="26"/>
      <x:c r="E85" s="26"/>
      <x:c r="F85" s="26"/>
      <x:c r="G85" s="26"/>
      <x:c r="H85" s="26"/>
      <x:c r="I85" s="26"/>
      <x:c r="J85" s="26"/>
      <x:c r="K85" s="26"/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  <x:c r="Z85" s="26"/>
    </x:row>
    <x:row r="86">
      <x:c r="A86" s="26"/>
      <x:c r="B86" s="26"/>
      <x:c r="C86" s="26"/>
      <x:c r="D86" s="26"/>
      <x:c r="E86" s="26"/>
      <x:c r="F86" s="26"/>
      <x:c r="G86" s="26"/>
      <x:c r="H86" s="26"/>
      <x:c r="I86" s="26"/>
      <x:c r="J86" s="26"/>
      <x:c r="K86" s="26"/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6"/>
    </x:row>
    <x:row r="87">
      <x:c r="A87" s="26"/>
      <x:c r="B87" s="26"/>
      <x:c r="C87" s="26"/>
      <x:c r="D87" s="26"/>
      <x:c r="E87" s="26"/>
      <x:c r="F87" s="26"/>
      <x:c r="G87" s="26"/>
      <x:c r="H87" s="26"/>
      <x:c r="I87" s="26"/>
      <x:c r="J87" s="26"/>
      <x:c r="K87" s="26"/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6"/>
    </x:row>
    <x:row r="88">
      <x:c r="A88" s="26"/>
      <x:c r="B88" s="26"/>
      <x:c r="C88" s="26"/>
      <x:c r="D88" s="26"/>
      <x:c r="E88" s="26"/>
      <x:c r="F88" s="26"/>
      <x:c r="G88" s="26"/>
      <x:c r="H88" s="26"/>
      <x:c r="I88" s="26"/>
      <x:c r="J88" s="26"/>
      <x:c r="K88" s="26"/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6"/>
    </x:row>
    <x:row r="89">
      <x:c r="A89" s="26"/>
      <x:c r="B89" s="26"/>
      <x:c r="C89" s="26"/>
      <x:c r="D89" s="26"/>
      <x:c r="E89" s="26"/>
      <x:c r="F89" s="26"/>
      <x:c r="G89" s="26"/>
      <x:c r="H89" s="26"/>
      <x:c r="I89" s="26"/>
      <x:c r="J89" s="26"/>
      <x:c r="K89" s="26"/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6"/>
    </x:row>
    <x:row r="90">
      <x:c r="A90" s="26"/>
      <x:c r="B90" s="26"/>
      <x:c r="C90" s="26"/>
      <x:c r="D90" s="26"/>
      <x:c r="E90" s="26"/>
      <x:c r="F90" s="26"/>
      <x:c r="G90" s="26"/>
      <x:c r="H90" s="26"/>
      <x:c r="I90" s="26"/>
      <x:c r="J90" s="26"/>
      <x:c r="K90" s="26"/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6"/>
    </x:row>
    <x:row r="91">
      <x:c r="A91" s="26"/>
      <x:c r="B91" s="26"/>
      <x:c r="C91" s="26"/>
      <x:c r="D91" s="26"/>
      <x:c r="E91" s="26"/>
      <x:c r="F91" s="26"/>
      <x:c r="G91" s="26"/>
      <x:c r="H91" s="26"/>
      <x:c r="I91" s="26"/>
      <x:c r="J91" s="26"/>
      <x:c r="K91" s="26"/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6"/>
    </x:row>
    <x:row r="92">
      <x:c r="A92" s="26"/>
      <x:c r="B92" s="26"/>
      <x:c r="C92" s="26"/>
      <x:c r="D92" s="26"/>
      <x:c r="E92" s="26"/>
      <x:c r="F92" s="26"/>
      <x:c r="G92" s="26"/>
      <x:c r="H92" s="26"/>
      <x:c r="I92" s="26"/>
      <x:c r="J92" s="26"/>
      <x:c r="K92" s="26"/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6"/>
    </x:row>
    <x:row r="93">
      <x:c r="A93" s="26"/>
      <x:c r="B93" s="26"/>
      <x:c r="C93" s="26"/>
      <x:c r="D93" s="26"/>
      <x:c r="E93" s="26"/>
      <x:c r="F93" s="26"/>
      <x:c r="G93" s="26"/>
      <x:c r="H93" s="26"/>
      <x:c r="I93" s="26"/>
      <x:c r="J93" s="26"/>
      <x:c r="K93" s="26"/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6"/>
    </x:row>
    <x:row r="94">
      <x:c r="A94" s="26"/>
      <x:c r="B94" s="26"/>
      <x:c r="C94" s="26"/>
      <x:c r="D94" s="26"/>
      <x:c r="E94" s="26"/>
      <x:c r="F94" s="26"/>
      <x:c r="G94" s="26"/>
      <x:c r="H94" s="26"/>
      <x:c r="I94" s="26"/>
      <x:c r="J94" s="26"/>
      <x:c r="K94" s="26"/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6"/>
    </x:row>
    <x:row r="95">
      <x:c r="A95" s="26"/>
      <x:c r="B95" s="26"/>
      <x:c r="C95" s="26"/>
      <x:c r="D95" s="26"/>
      <x:c r="E95" s="26"/>
      <x:c r="F95" s="26"/>
      <x:c r="G95" s="26"/>
      <x:c r="H95" s="26"/>
      <x:c r="I95" s="26"/>
      <x:c r="J95" s="26"/>
      <x:c r="K95" s="26"/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</x:row>
    <x:row r="96">
      <x:c r="A96" s="26"/>
      <x:c r="B96" s="26"/>
      <x:c r="C96" s="26"/>
      <x:c r="D96" s="26"/>
      <x:c r="E96" s="26"/>
      <x:c r="F96" s="26"/>
      <x:c r="G96" s="26"/>
      <x:c r="H96" s="26"/>
      <x:c r="I96" s="26"/>
      <x:c r="J96" s="26"/>
      <x:c r="K96" s="26"/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</x:row>
    <x:row r="97">
      <x:c r="A97" s="26"/>
      <x:c r="B97" s="26"/>
      <x:c r="C97" s="26"/>
      <x:c r="D97" s="26"/>
      <x:c r="E97" s="26"/>
      <x:c r="F97" s="26"/>
      <x:c r="G97" s="26"/>
      <x:c r="H97" s="26"/>
      <x:c r="I97" s="26"/>
      <x:c r="J97" s="26"/>
      <x:c r="K97" s="26"/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</x:row>
    <x:row r="98">
      <x:c r="A98" s="26"/>
      <x:c r="B98" s="26"/>
      <x:c r="C98" s="26"/>
      <x:c r="D98" s="26"/>
      <x:c r="E98" s="26"/>
      <x:c r="F98" s="26"/>
      <x:c r="G98" s="26"/>
      <x:c r="H98" s="26"/>
      <x:c r="I98" s="26"/>
      <x:c r="J98" s="26"/>
      <x:c r="K98" s="26"/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</x:row>
    <x:row r="99">
      <x:c r="A99" s="26"/>
      <x:c r="B99" s="26"/>
      <x:c r="C99" s="26"/>
      <x:c r="D99" s="26"/>
      <x:c r="E99" s="26"/>
      <x:c r="F99" s="26"/>
      <x:c r="G99" s="26"/>
      <x:c r="H99" s="26"/>
      <x:c r="I99" s="26"/>
      <x:c r="J99" s="26"/>
      <x:c r="K99" s="26"/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</x:row>
    <x:row r="100">
      <x:c r="A100" s="26"/>
      <x:c r="B100" s="26"/>
      <x:c r="C100" s="26"/>
      <x:c r="D100" s="26"/>
      <x:c r="E100" s="26"/>
      <x:c r="F100" s="26"/>
      <x:c r="G100" s="26"/>
      <x:c r="H100" s="26"/>
      <x:c r="I100" s="26"/>
      <x:c r="J100" s="26"/>
      <x:c r="K100" s="26"/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</x:row>
    <x:row r="101">
      <x:c r="A101" s="26"/>
      <x:c r="B101" s="26"/>
      <x:c r="C101" s="26"/>
      <x:c r="D101" s="26"/>
      <x:c r="E101" s="26"/>
      <x:c r="F101" s="26"/>
      <x:c r="G101" s="26"/>
      <x:c r="H101" s="26"/>
      <x:c r="I101" s="26"/>
      <x:c r="J101" s="26"/>
      <x:c r="K101" s="26"/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</x:row>
    <x:row r="102">
      <x:c r="A102" s="26"/>
      <x:c r="B102" s="26"/>
      <x:c r="C102" s="26"/>
      <x:c r="D102" s="26"/>
      <x:c r="E102" s="26"/>
      <x:c r="F102" s="26"/>
      <x:c r="G102" s="26"/>
      <x:c r="H102" s="26"/>
      <x:c r="I102" s="26"/>
      <x:c r="J102" s="26"/>
      <x:c r="K102" s="26"/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  <x:c r="Z102" s="26"/>
    </x:row>
    <x:row r="103">
      <x:c r="A103" s="26"/>
      <x:c r="B103" s="26"/>
      <x:c r="C103" s="26"/>
      <x:c r="D103" s="26"/>
      <x:c r="E103" s="26"/>
      <x:c r="F103" s="26"/>
      <x:c r="G103" s="26"/>
      <x:c r="H103" s="26"/>
      <x:c r="I103" s="26"/>
      <x:c r="J103" s="26"/>
      <x:c r="K103" s="26"/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</x:row>
    <x:row r="104">
      <x:c r="A104" s="26"/>
      <x:c r="B104" s="26"/>
      <x:c r="C104" s="26"/>
      <x:c r="D104" s="26"/>
      <x:c r="E104" s="26"/>
      <x:c r="F104" s="26"/>
      <x:c r="G104" s="26"/>
      <x:c r="H104" s="26"/>
      <x:c r="I104" s="26"/>
      <x:c r="J104" s="26"/>
      <x:c r="K104" s="26"/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</x:row>
    <x:row r="105">
      <x:c r="A105" s="26"/>
      <x:c r="B105" s="26"/>
      <x:c r="C105" s="26"/>
      <x:c r="D105" s="26"/>
      <x:c r="E105" s="26"/>
      <x:c r="F105" s="26"/>
      <x:c r="G105" s="26"/>
      <x:c r="H105" s="26"/>
      <x:c r="I105" s="26"/>
      <x:c r="J105" s="26"/>
      <x:c r="K105" s="26"/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</x:row>
    <x:row r="106">
      <x:c r="A106" s="26"/>
      <x:c r="B106" s="26"/>
      <x:c r="C106" s="26"/>
      <x:c r="D106" s="26"/>
      <x:c r="E106" s="26"/>
      <x:c r="F106" s="26"/>
      <x:c r="G106" s="26"/>
      <x:c r="H106" s="26"/>
      <x:c r="I106" s="26"/>
      <x:c r="J106" s="26"/>
      <x:c r="K106" s="26"/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</x:row>
    <x:row r="107">
      <x:c r="A107" s="26"/>
      <x:c r="B107" s="26"/>
      <x:c r="C107" s="26"/>
      <x:c r="D107" s="26"/>
      <x:c r="E107" s="26"/>
      <x:c r="F107" s="26"/>
      <x:c r="G107" s="26"/>
      <x:c r="H107" s="26"/>
      <x:c r="I107" s="26"/>
      <x:c r="J107" s="26"/>
      <x:c r="K107" s="26"/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</x:row>
    <x:row r="108">
      <x:c r="A108" s="26"/>
      <x:c r="B108" s="26"/>
      <x:c r="C108" s="26"/>
      <x:c r="D108" s="26"/>
      <x:c r="E108" s="26"/>
      <x:c r="F108" s="26"/>
      <x:c r="G108" s="26"/>
      <x:c r="H108" s="26"/>
      <x:c r="I108" s="26"/>
      <x:c r="J108" s="26"/>
      <x:c r="K108" s="26"/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</x:row>
    <x:row r="109">
      <x:c r="A109" s="26"/>
      <x:c r="B109" s="26"/>
      <x:c r="C109" s="26"/>
      <x:c r="D109" s="26"/>
      <x:c r="E109" s="26"/>
      <x:c r="F109" s="26"/>
      <x:c r="G109" s="26"/>
      <x:c r="H109" s="26"/>
      <x:c r="I109" s="26"/>
      <x:c r="J109" s="26"/>
      <x:c r="K109" s="26"/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</x:row>
    <x:row r="110">
      <x:c r="A110" s="26"/>
      <x:c r="B110" s="26"/>
      <x:c r="C110" s="26"/>
      <x:c r="D110" s="26"/>
      <x:c r="E110" s="26"/>
      <x:c r="F110" s="26"/>
      <x:c r="G110" s="26"/>
      <x:c r="H110" s="26"/>
      <x:c r="I110" s="26"/>
      <x:c r="J110" s="26"/>
      <x:c r="K110" s="26"/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</x:row>
    <x:row r="111">
      <x:c r="A111" s="26"/>
      <x:c r="B111" s="26"/>
      <x:c r="C111" s="26"/>
      <x:c r="D111" s="26"/>
      <x:c r="E111" s="26"/>
      <x:c r="F111" s="26"/>
      <x:c r="G111" s="26"/>
      <x:c r="H111" s="26"/>
      <x:c r="I111" s="26"/>
      <x:c r="J111" s="26"/>
      <x:c r="K111" s="26"/>
      <x:c r="L111" s="26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/>
      <x:c r="Y111" s="26"/>
      <x:c r="Z111" s="26"/>
    </x:row>
    <x:row r="112">
      <x:c r="A112" s="26"/>
      <x:c r="B112" s="26"/>
      <x:c r="C112" s="26"/>
      <x:c r="D112" s="26"/>
      <x:c r="E112" s="26"/>
      <x:c r="F112" s="26"/>
      <x:c r="G112" s="26"/>
      <x:c r="H112" s="26"/>
      <x:c r="I112" s="26"/>
      <x:c r="J112" s="26"/>
      <x:c r="K112" s="26"/>
      <x:c r="L112" s="26"/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/>
      <x:c r="Z112" s="26"/>
    </x:row>
    <x:row r="113">
      <x:c r="A113" s="26"/>
      <x:c r="B113" s="26"/>
      <x:c r="C113" s="26"/>
      <x:c r="D113" s="26"/>
      <x:c r="E113" s="26"/>
      <x:c r="F113" s="26"/>
      <x:c r="G113" s="26"/>
      <x:c r="H113" s="26"/>
      <x:c r="I113" s="26"/>
      <x:c r="J113" s="26"/>
      <x:c r="K113" s="26"/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6"/>
    </x:row>
    <x:row r="114">
      <x:c r="A114" s="26"/>
      <x:c r="B114" s="26"/>
      <x:c r="C114" s="26"/>
      <x:c r="D114" s="26"/>
      <x:c r="E114" s="26"/>
      <x:c r="F114" s="26"/>
      <x:c r="G114" s="26"/>
      <x:c r="H114" s="26"/>
      <x:c r="I114" s="26"/>
      <x:c r="J114" s="26"/>
      <x:c r="K114" s="26"/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</x:row>
    <x:row r="115">
      <x:c r="A115" s="26"/>
      <x:c r="B115" s="26"/>
      <x:c r="C115" s="26"/>
      <x:c r="D115" s="26"/>
      <x:c r="E115" s="26"/>
      <x:c r="F115" s="26"/>
      <x:c r="G115" s="26"/>
      <x:c r="H115" s="26"/>
      <x:c r="I115" s="26"/>
      <x:c r="J115" s="26"/>
      <x:c r="K115" s="26"/>
      <x:c r="L115" s="26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6"/>
    </x:row>
    <x:row r="116">
      <x:c r="A116" s="26"/>
      <x:c r="B116" s="26"/>
      <x:c r="C116" s="26"/>
      <x:c r="D116" s="26"/>
      <x:c r="E116" s="26"/>
      <x:c r="F116" s="26"/>
      <x:c r="G116" s="26"/>
      <x:c r="H116" s="26"/>
      <x:c r="I116" s="26"/>
      <x:c r="J116" s="26"/>
      <x:c r="K116" s="26"/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</x:row>
    <x:row r="117">
      <x:c r="A117" s="26"/>
      <x:c r="B117" s="26"/>
      <x:c r="C117" s="26"/>
      <x:c r="D117" s="26"/>
      <x:c r="E117" s="26"/>
      <x:c r="F117" s="26"/>
      <x:c r="G117" s="26"/>
      <x:c r="H117" s="26"/>
      <x:c r="I117" s="26"/>
      <x:c r="J117" s="26"/>
      <x:c r="K117" s="26"/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</x:row>
    <x:row r="118">
      <x:c r="A118" s="26"/>
      <x:c r="B118" s="26"/>
      <x:c r="C118" s="26"/>
      <x:c r="D118" s="26"/>
      <x:c r="E118" s="26"/>
      <x:c r="F118" s="26"/>
      <x:c r="G118" s="26"/>
      <x:c r="H118" s="26"/>
      <x:c r="I118" s="26"/>
      <x:c r="J118" s="26"/>
      <x:c r="K118" s="26"/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</x:row>
    <x:row r="119">
      <x:c r="A119" s="26"/>
      <x:c r="B119" s="26"/>
      <x:c r="C119" s="26"/>
      <x:c r="D119" s="26"/>
      <x:c r="E119" s="26"/>
      <x:c r="F119" s="26"/>
      <x:c r="G119" s="26"/>
      <x:c r="H119" s="26"/>
      <x:c r="I119" s="26"/>
      <x:c r="J119" s="26"/>
      <x:c r="K119" s="26"/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</x:row>
    <x:row r="120">
      <x:c r="A120" s="26"/>
      <x:c r="B120" s="26"/>
      <x:c r="C120" s="26"/>
      <x:c r="D120" s="26"/>
      <x:c r="E120" s="26"/>
      <x:c r="F120" s="26"/>
      <x:c r="G120" s="26"/>
      <x:c r="H120" s="26"/>
      <x:c r="I120" s="26"/>
      <x:c r="J120" s="26"/>
      <x:c r="K120" s="26"/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</x:row>
    <x:row r="121">
      <x:c r="A121" s="26"/>
      <x:c r="B121" s="26"/>
      <x:c r="C121" s="26"/>
      <x:c r="D121" s="26"/>
      <x:c r="E121" s="26"/>
      <x:c r="F121" s="26"/>
      <x:c r="G121" s="26"/>
      <x:c r="H121" s="26"/>
      <x:c r="I121" s="26"/>
      <x:c r="J121" s="26"/>
      <x:c r="K121" s="26"/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6"/>
    </x:row>
    <x:row r="122">
      <x:c r="A122" s="26"/>
      <x:c r="B122" s="26"/>
      <x:c r="C122" s="26"/>
      <x:c r="D122" s="26"/>
      <x:c r="E122" s="26"/>
      <x:c r="F122" s="26"/>
      <x:c r="G122" s="26"/>
      <x:c r="H122" s="26"/>
      <x:c r="I122" s="26"/>
      <x:c r="J122" s="26"/>
      <x:c r="K122" s="26"/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6"/>
    </x:row>
    <x:row r="123">
      <x:c r="A123" s="26"/>
      <x:c r="B123" s="26"/>
      <x:c r="C123" s="26"/>
      <x:c r="D123" s="26"/>
      <x:c r="E123" s="26"/>
      <x:c r="F123" s="26"/>
      <x:c r="G123" s="26"/>
      <x:c r="H123" s="26"/>
      <x:c r="I123" s="26"/>
      <x:c r="J123" s="26"/>
      <x:c r="K123" s="26"/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6"/>
    </x:row>
    <x:row r="124">
      <x:c r="A124" s="26"/>
      <x:c r="B124" s="26"/>
      <x:c r="C124" s="26"/>
      <x:c r="D124" s="26"/>
      <x:c r="E124" s="26"/>
      <x:c r="F124" s="26"/>
      <x:c r="G124" s="26"/>
      <x:c r="H124" s="26"/>
      <x:c r="I124" s="26"/>
      <x:c r="J124" s="26"/>
      <x:c r="K124" s="26"/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</x:row>
    <x:row r="125">
      <x:c r="A125" s="26"/>
      <x:c r="B125" s="26"/>
      <x:c r="C125" s="26"/>
      <x:c r="D125" s="26"/>
      <x:c r="E125" s="26"/>
      <x:c r="F125" s="26"/>
      <x:c r="G125" s="26"/>
      <x:c r="H125" s="26"/>
      <x:c r="I125" s="26"/>
      <x:c r="J125" s="26"/>
      <x:c r="K125" s="26"/>
      <x:c r="L125" s="26"/>
      <x:c r="M125" s="26"/>
      <x:c r="N125" s="26"/>
      <x:c r="O125" s="26"/>
      <x:c r="P125" s="26"/>
      <x:c r="Q125" s="26"/>
      <x:c r="R125" s="26"/>
      <x:c r="S125" s="26"/>
      <x:c r="T125" s="26"/>
      <x:c r="U125" s="26"/>
      <x:c r="V125" s="26"/>
      <x:c r="W125" s="26"/>
      <x:c r="X125" s="26"/>
      <x:c r="Y125" s="26"/>
      <x:c r="Z125" s="26"/>
    </x:row>
    <x:row r="126">
      <x:c r="A126" s="26"/>
      <x:c r="B126" s="26"/>
      <x:c r="C126" s="26"/>
      <x:c r="D126" s="26"/>
      <x:c r="E126" s="26"/>
      <x:c r="F126" s="26"/>
      <x:c r="G126" s="26"/>
      <x:c r="H126" s="26"/>
      <x:c r="I126" s="26"/>
      <x:c r="J126" s="26"/>
      <x:c r="K126" s="26"/>
      <x:c r="L126" s="26"/>
      <x:c r="M126" s="26"/>
      <x:c r="N126" s="26"/>
      <x:c r="O126" s="26"/>
      <x:c r="P126" s="26"/>
      <x:c r="Q126" s="26"/>
      <x:c r="R126" s="26"/>
      <x:c r="S126" s="26"/>
      <x:c r="T126" s="26"/>
      <x:c r="U126" s="26"/>
      <x:c r="V126" s="26"/>
      <x:c r="W126" s="26"/>
      <x:c r="X126" s="26"/>
      <x:c r="Y126" s="26"/>
      <x:c r="Z126" s="26"/>
    </x:row>
    <x:row r="127">
      <x:c r="A127" s="26"/>
      <x:c r="B127" s="26"/>
      <x:c r="C127" s="26"/>
      <x:c r="D127" s="26"/>
      <x:c r="E127" s="26"/>
      <x:c r="F127" s="26"/>
      <x:c r="G127" s="26"/>
      <x:c r="H127" s="26"/>
      <x:c r="I127" s="26"/>
      <x:c r="J127" s="26"/>
      <x:c r="K127" s="26"/>
      <x:c r="L127" s="26"/>
      <x:c r="M127" s="26"/>
      <x:c r="N127" s="26"/>
      <x:c r="O127" s="26"/>
      <x:c r="P127" s="26"/>
      <x:c r="Q127" s="26"/>
      <x:c r="R127" s="26"/>
      <x:c r="S127" s="26"/>
      <x:c r="T127" s="26"/>
      <x:c r="U127" s="26"/>
      <x:c r="V127" s="26"/>
      <x:c r="W127" s="26"/>
      <x:c r="X127" s="26"/>
      <x:c r="Y127" s="26"/>
      <x:c r="Z127" s="26"/>
    </x:row>
    <x:row r="128">
      <x:c r="A128" s="26"/>
      <x:c r="B128" s="26"/>
      <x:c r="C128" s="26"/>
      <x:c r="D128" s="26"/>
      <x:c r="E128" s="26"/>
      <x:c r="F128" s="26"/>
      <x:c r="G128" s="26"/>
      <x:c r="H128" s="26"/>
      <x:c r="I128" s="26"/>
      <x:c r="J128" s="26"/>
      <x:c r="K128" s="26"/>
      <x:c r="L128" s="26"/>
      <x:c r="M128" s="26"/>
      <x:c r="N128" s="26"/>
      <x:c r="O128" s="26"/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6"/>
    </x:row>
    <x:row r="129">
      <x:c r="A129" s="26"/>
      <x:c r="B129" s="26"/>
      <x:c r="C129" s="26"/>
      <x:c r="D129" s="26"/>
      <x:c r="E129" s="26"/>
      <x:c r="F129" s="26"/>
      <x:c r="G129" s="26"/>
      <x:c r="H129" s="26"/>
      <x:c r="I129" s="26"/>
      <x:c r="J129" s="26"/>
      <x:c r="K129" s="26"/>
      <x:c r="L129" s="26"/>
      <x:c r="M129" s="26"/>
      <x:c r="N129" s="26"/>
      <x:c r="O129" s="26"/>
      <x:c r="P129" s="26"/>
      <x:c r="Q129" s="26"/>
      <x:c r="R129" s="26"/>
      <x:c r="S129" s="26"/>
      <x:c r="T129" s="26"/>
      <x:c r="U129" s="26"/>
      <x:c r="V129" s="26"/>
      <x:c r="W129" s="26"/>
      <x:c r="X129" s="26"/>
      <x:c r="Y129" s="26"/>
      <x:c r="Z129" s="26"/>
    </x:row>
    <x:row r="130">
      <x:c r="A130" s="26"/>
      <x:c r="B130" s="26"/>
      <x:c r="C130" s="26"/>
      <x:c r="D130" s="26"/>
      <x:c r="E130" s="26"/>
      <x:c r="F130" s="26"/>
      <x:c r="G130" s="26"/>
      <x:c r="H130" s="26"/>
      <x:c r="I130" s="26"/>
      <x:c r="J130" s="26"/>
      <x:c r="K130" s="26"/>
      <x:c r="L130" s="26"/>
      <x:c r="M130" s="26"/>
      <x:c r="N130" s="26"/>
      <x:c r="O130" s="26"/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/>
      <x:c r="Z130" s="26"/>
    </x:row>
    <x:row r="131">
      <x:c r="A131" s="26"/>
      <x:c r="B131" s="26"/>
      <x:c r="C131" s="26"/>
      <x:c r="D131" s="26"/>
      <x:c r="E131" s="26"/>
      <x:c r="F131" s="26"/>
      <x:c r="G131" s="26"/>
      <x:c r="H131" s="26"/>
      <x:c r="I131" s="26"/>
      <x:c r="J131" s="26"/>
      <x:c r="K131" s="26"/>
      <x:c r="L131" s="26"/>
      <x:c r="M131" s="26"/>
      <x:c r="N131" s="26"/>
      <x:c r="O131" s="26"/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6"/>
    </x:row>
    <x:row r="132">
      <x:c r="A132" s="26"/>
      <x:c r="B132" s="26"/>
      <x:c r="C132" s="26"/>
      <x:c r="D132" s="26"/>
      <x:c r="E132" s="26"/>
      <x:c r="F132" s="26"/>
      <x:c r="G132" s="26"/>
      <x:c r="H132" s="26"/>
      <x:c r="I132" s="26"/>
      <x:c r="J132" s="26"/>
      <x:c r="K132" s="26"/>
      <x:c r="L132" s="26"/>
      <x:c r="M132" s="26"/>
      <x:c r="N132" s="26"/>
      <x:c r="O132" s="26"/>
      <x:c r="P132" s="26"/>
      <x:c r="Q132" s="26"/>
      <x:c r="R132" s="26"/>
      <x:c r="S132" s="26"/>
      <x:c r="T132" s="26"/>
      <x:c r="U132" s="26"/>
      <x:c r="V132" s="26"/>
      <x:c r="W132" s="26"/>
      <x:c r="X132" s="26"/>
      <x:c r="Y132" s="26"/>
      <x:c r="Z132" s="26"/>
    </x:row>
    <x:row r="133">
      <x:c r="A133" s="26"/>
      <x:c r="B133" s="26"/>
      <x:c r="C133" s="26"/>
      <x:c r="D133" s="26"/>
      <x:c r="E133" s="26"/>
      <x:c r="F133" s="26"/>
      <x:c r="G133" s="26"/>
      <x:c r="H133" s="26"/>
      <x:c r="I133" s="26"/>
      <x:c r="J133" s="26"/>
      <x:c r="K133" s="26"/>
      <x:c r="L133" s="26"/>
      <x:c r="M133" s="26"/>
      <x:c r="N133" s="26"/>
      <x:c r="O133" s="26"/>
      <x:c r="P133" s="26"/>
      <x:c r="Q133" s="26"/>
      <x:c r="R133" s="26"/>
      <x:c r="S133" s="26"/>
      <x:c r="T133" s="26"/>
      <x:c r="U133" s="26"/>
      <x:c r="V133" s="26"/>
      <x:c r="W133" s="26"/>
      <x:c r="X133" s="26"/>
      <x:c r="Y133" s="26"/>
      <x:c r="Z133" s="26"/>
    </x:row>
    <x:row r="134">
      <x:c r="A134" s="26"/>
      <x:c r="B134" s="26"/>
      <x:c r="C134" s="26"/>
      <x:c r="D134" s="26"/>
      <x:c r="E134" s="26"/>
      <x:c r="F134" s="26"/>
      <x:c r="G134" s="26"/>
      <x:c r="H134" s="26"/>
      <x:c r="I134" s="26"/>
      <x:c r="J134" s="26"/>
      <x:c r="K134" s="26"/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6"/>
    </x:row>
    <x:row r="135">
      <x:c r="A135" s="26"/>
      <x:c r="B135" s="26"/>
      <x:c r="C135" s="26"/>
      <x:c r="D135" s="26"/>
      <x:c r="E135" s="26"/>
      <x:c r="F135" s="26"/>
      <x:c r="G135" s="26"/>
      <x:c r="H135" s="26"/>
      <x:c r="I135" s="26"/>
      <x:c r="J135" s="26"/>
      <x:c r="K135" s="26"/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</x:row>
    <x:row r="136">
      <x:c r="A136" s="26"/>
      <x:c r="B136" s="26"/>
      <x:c r="C136" s="26"/>
      <x:c r="D136" s="26"/>
      <x:c r="E136" s="26"/>
      <x:c r="F136" s="26"/>
      <x:c r="G136" s="26"/>
      <x:c r="H136" s="26"/>
      <x:c r="I136" s="26"/>
      <x:c r="J136" s="26"/>
      <x:c r="K136" s="26"/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</x:row>
    <x:row r="137">
      <x:c r="A137" s="26"/>
      <x:c r="B137" s="26"/>
      <x:c r="C137" s="26"/>
      <x:c r="D137" s="26"/>
      <x:c r="E137" s="26"/>
      <x:c r="F137" s="26"/>
      <x:c r="G137" s="26"/>
      <x:c r="H137" s="26"/>
      <x:c r="I137" s="26"/>
      <x:c r="J137" s="26"/>
      <x:c r="K137" s="26"/>
      <x:c r="L137" s="26"/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</x:row>
    <x:row r="138">
      <x:c r="A138" s="26"/>
      <x:c r="B138" s="26"/>
      <x:c r="C138" s="26"/>
      <x:c r="D138" s="26"/>
      <x:c r="E138" s="26"/>
      <x:c r="F138" s="26"/>
      <x:c r="G138" s="26"/>
      <x:c r="H138" s="26"/>
      <x:c r="I138" s="26"/>
      <x:c r="J138" s="26"/>
      <x:c r="K138" s="26"/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</x:row>
    <x:row r="139">
      <x:c r="A139" s="26"/>
      <x:c r="B139" s="26"/>
      <x:c r="C139" s="26"/>
      <x:c r="D139" s="26"/>
      <x:c r="E139" s="26"/>
      <x:c r="F139" s="26"/>
      <x:c r="G139" s="26"/>
      <x:c r="H139" s="26"/>
      <x:c r="I139" s="26"/>
      <x:c r="J139" s="26"/>
      <x:c r="K139" s="26"/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</x:row>
    <x:row r="140">
      <x:c r="A140" s="26"/>
      <x:c r="B140" s="26"/>
      <x:c r="C140" s="26"/>
      <x:c r="D140" s="26"/>
      <x:c r="E140" s="26"/>
      <x:c r="F140" s="26"/>
      <x:c r="G140" s="26"/>
      <x:c r="H140" s="26"/>
      <x:c r="I140" s="26"/>
      <x:c r="J140" s="26"/>
      <x:c r="K140" s="26"/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</x:row>
    <x:row r="141">
      <x:c r="A141" s="26"/>
      <x:c r="B141" s="26"/>
      <x:c r="C141" s="26"/>
      <x:c r="D141" s="26"/>
      <x:c r="E141" s="26"/>
      <x:c r="F141" s="26"/>
      <x:c r="G141" s="26"/>
      <x:c r="H141" s="26"/>
      <x:c r="I141" s="26"/>
      <x:c r="J141" s="26"/>
      <x:c r="K141" s="26"/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</x:row>
    <x:row r="142">
      <x:c r="A142" s="26"/>
      <x:c r="B142" s="26"/>
      <x:c r="C142" s="26"/>
      <x:c r="D142" s="26"/>
      <x:c r="E142" s="26"/>
      <x:c r="F142" s="26"/>
      <x:c r="G142" s="26"/>
      <x:c r="H142" s="26"/>
      <x:c r="I142" s="26"/>
      <x:c r="J142" s="26"/>
      <x:c r="K142" s="26"/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/>
      <x:c r="Z142" s="26"/>
    </x:row>
    <x:row r="143">
      <x:c r="A143" s="26"/>
      <x:c r="B143" s="26"/>
      <x:c r="C143" s="26"/>
      <x:c r="D143" s="26"/>
      <x:c r="E143" s="26"/>
      <x:c r="F143" s="26"/>
      <x:c r="G143" s="26"/>
      <x:c r="H143" s="26"/>
      <x:c r="I143" s="26"/>
      <x:c r="J143" s="26"/>
      <x:c r="K143" s="26"/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</x:row>
    <x:row r="144">
      <x:c r="A144" s="26"/>
      <x:c r="B144" s="26"/>
      <x:c r="C144" s="26"/>
      <x:c r="D144" s="26"/>
      <x:c r="E144" s="26"/>
      <x:c r="F144" s="26"/>
      <x:c r="G144" s="26"/>
      <x:c r="H144" s="26"/>
      <x:c r="I144" s="26"/>
      <x:c r="J144" s="26"/>
      <x:c r="K144" s="26"/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</x:row>
    <x:row r="145">
      <x:c r="A145" s="26"/>
      <x:c r="B145" s="26"/>
      <x:c r="C145" s="26"/>
      <x:c r="D145" s="26"/>
      <x:c r="E145" s="26"/>
      <x:c r="F145" s="26"/>
      <x:c r="G145" s="26"/>
      <x:c r="H145" s="26"/>
      <x:c r="I145" s="26"/>
      <x:c r="J145" s="26"/>
      <x:c r="K145" s="26"/>
      <x:c r="L145" s="26"/>
      <x:c r="M145" s="26"/>
      <x:c r="N145" s="26"/>
      <x:c r="O145" s="26"/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6"/>
    </x:row>
    <x:row r="146">
      <x:c r="A146" s="26"/>
      <x:c r="B146" s="26"/>
      <x:c r="C146" s="26"/>
      <x:c r="D146" s="26"/>
      <x:c r="E146" s="26"/>
      <x:c r="F146" s="26"/>
      <x:c r="G146" s="26"/>
      <x:c r="H146" s="26"/>
      <x:c r="I146" s="26"/>
      <x:c r="J146" s="26"/>
      <x:c r="K146" s="26"/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6"/>
    </x:row>
    <x:row r="147">
      <x:c r="A147" s="26"/>
      <x:c r="B147" s="26"/>
      <x:c r="C147" s="26"/>
      <x:c r="D147" s="26"/>
      <x:c r="E147" s="26"/>
      <x:c r="F147" s="26"/>
      <x:c r="G147" s="26"/>
      <x:c r="H147" s="26"/>
      <x:c r="I147" s="26"/>
      <x:c r="J147" s="26"/>
      <x:c r="K147" s="26"/>
      <x:c r="L147" s="26"/>
      <x:c r="M147" s="26"/>
      <x:c r="N147" s="26"/>
      <x:c r="O147" s="26"/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6"/>
    </x:row>
    <x:row r="148">
      <x:c r="A148" s="26"/>
      <x:c r="B148" s="26"/>
      <x:c r="C148" s="26"/>
      <x:c r="D148" s="26"/>
      <x:c r="E148" s="26"/>
      <x:c r="F148" s="26"/>
      <x:c r="G148" s="26"/>
      <x:c r="H148" s="26"/>
      <x:c r="I148" s="26"/>
      <x:c r="J148" s="26"/>
      <x:c r="K148" s="26"/>
      <x:c r="L148" s="26"/>
      <x:c r="M148" s="26"/>
      <x:c r="N148" s="26"/>
      <x:c r="O148" s="26"/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6"/>
    </x:row>
    <x:row r="149">
      <x:c r="A149" s="26"/>
      <x:c r="B149" s="26"/>
      <x:c r="C149" s="26"/>
      <x:c r="D149" s="26"/>
      <x:c r="E149" s="26"/>
      <x:c r="F149" s="26"/>
      <x:c r="G149" s="26"/>
      <x:c r="H149" s="26"/>
      <x:c r="I149" s="26"/>
      <x:c r="J149" s="26"/>
      <x:c r="K149" s="26"/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6"/>
    </x:row>
    <x:row r="150">
      <x:c r="A150" s="26"/>
      <x:c r="B150" s="26"/>
      <x:c r="C150" s="26"/>
      <x:c r="D150" s="26"/>
      <x:c r="E150" s="26"/>
      <x:c r="F150" s="26"/>
      <x:c r="G150" s="26"/>
      <x:c r="H150" s="26"/>
      <x:c r="I150" s="26"/>
      <x:c r="J150" s="26"/>
      <x:c r="K150" s="26"/>
      <x:c r="L150" s="26"/>
      <x:c r="M150" s="26"/>
      <x:c r="N150" s="26"/>
      <x:c r="O150" s="26"/>
      <x:c r="P150" s="26"/>
      <x:c r="Q150" s="26"/>
      <x:c r="R150" s="26"/>
      <x:c r="S150" s="26"/>
      <x:c r="T150" s="26"/>
      <x:c r="U150" s="26"/>
      <x:c r="V150" s="26"/>
      <x:c r="W150" s="26"/>
      <x:c r="X150" s="26"/>
      <x:c r="Y150" s="26"/>
      <x:c r="Z150" s="26"/>
    </x:row>
    <x:row r="151">
      <x:c r="A151" s="26"/>
      <x:c r="B151" s="26"/>
      <x:c r="C151" s="26"/>
      <x:c r="D151" s="26"/>
      <x:c r="E151" s="26"/>
      <x:c r="F151" s="26"/>
      <x:c r="G151" s="26"/>
      <x:c r="H151" s="26"/>
      <x:c r="I151" s="26"/>
      <x:c r="J151" s="26"/>
      <x:c r="K151" s="26"/>
      <x:c r="L151" s="26"/>
      <x:c r="M151" s="26"/>
      <x:c r="N151" s="26"/>
      <x:c r="O151" s="26"/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/>
      <x:c r="Z151" s="26"/>
    </x:row>
    <x:row r="152">
      <x:c r="A152" s="26"/>
      <x:c r="B152" s="26"/>
      <x:c r="C152" s="26"/>
      <x:c r="D152" s="26"/>
      <x:c r="E152" s="26"/>
      <x:c r="F152" s="26"/>
      <x:c r="G152" s="26"/>
      <x:c r="H152" s="26"/>
      <x:c r="I152" s="26"/>
      <x:c r="J152" s="26"/>
      <x:c r="K152" s="26"/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/>
      <x:c r="W152" s="26"/>
      <x:c r="X152" s="26"/>
      <x:c r="Y152" s="26"/>
      <x:c r="Z152" s="26"/>
    </x:row>
    <x:row r="153">
      <x:c r="A153" s="26"/>
      <x:c r="B153" s="26"/>
      <x:c r="C153" s="26"/>
      <x:c r="D153" s="26"/>
      <x:c r="E153" s="26"/>
      <x:c r="F153" s="26"/>
      <x:c r="G153" s="26"/>
      <x:c r="H153" s="26"/>
      <x:c r="I153" s="26"/>
      <x:c r="J153" s="26"/>
      <x:c r="K153" s="26"/>
      <x:c r="L153" s="26"/>
      <x:c r="M153" s="26"/>
      <x:c r="N153" s="26"/>
      <x:c r="O153" s="26"/>
      <x:c r="P153" s="26"/>
      <x:c r="Q153" s="26"/>
      <x:c r="R153" s="26"/>
      <x:c r="S153" s="26"/>
      <x:c r="T153" s="26"/>
      <x:c r="U153" s="26"/>
      <x:c r="V153" s="26"/>
      <x:c r="W153" s="26"/>
      <x:c r="X153" s="26"/>
      <x:c r="Y153" s="26"/>
      <x:c r="Z153" s="26"/>
    </x:row>
    <x:row r="154">
      <x:c r="A154" s="26"/>
      <x:c r="B154" s="26"/>
      <x:c r="C154" s="26"/>
      <x:c r="D154" s="26"/>
      <x:c r="E154" s="26"/>
      <x:c r="F154" s="26"/>
      <x:c r="G154" s="26"/>
      <x:c r="H154" s="26"/>
      <x:c r="I154" s="26"/>
      <x:c r="J154" s="26"/>
      <x:c r="K154" s="26"/>
      <x:c r="L154" s="26"/>
      <x:c r="M154" s="26"/>
      <x:c r="N154" s="26"/>
      <x:c r="O154" s="26"/>
      <x:c r="P154" s="26"/>
      <x:c r="Q154" s="26"/>
      <x:c r="R154" s="26"/>
      <x:c r="S154" s="26"/>
      <x:c r="T154" s="26"/>
      <x:c r="U154" s="26"/>
      <x:c r="V154" s="26"/>
      <x:c r="W154" s="26"/>
      <x:c r="X154" s="26"/>
      <x:c r="Y154" s="26"/>
      <x:c r="Z154" s="26"/>
    </x:row>
    <x:row r="155">
      <x:c r="A155" s="26"/>
      <x:c r="B155" s="26"/>
      <x:c r="C155" s="26"/>
      <x:c r="D155" s="26"/>
      <x:c r="E155" s="26"/>
      <x:c r="F155" s="26"/>
      <x:c r="G155" s="26"/>
      <x:c r="H155" s="26"/>
      <x:c r="I155" s="26"/>
      <x:c r="J155" s="26"/>
      <x:c r="K155" s="26"/>
      <x:c r="L155" s="26"/>
      <x:c r="M155" s="26"/>
      <x:c r="N155" s="26"/>
      <x:c r="O155" s="26"/>
      <x:c r="P155" s="26"/>
      <x:c r="Q155" s="26"/>
      <x:c r="R155" s="26"/>
      <x:c r="S155" s="26"/>
      <x:c r="T155" s="26"/>
      <x:c r="U155" s="26"/>
      <x:c r="V155" s="26"/>
      <x:c r="W155" s="26"/>
      <x:c r="X155" s="26"/>
      <x:c r="Y155" s="26"/>
      <x:c r="Z155" s="26"/>
    </x:row>
    <x:row r="156">
      <x:c r="A156" s="26"/>
      <x:c r="B156" s="26"/>
      <x:c r="C156" s="26"/>
      <x:c r="D156" s="26"/>
      <x:c r="E156" s="26"/>
      <x:c r="F156" s="26"/>
      <x:c r="G156" s="26"/>
      <x:c r="H156" s="26"/>
      <x:c r="I156" s="26"/>
      <x:c r="J156" s="26"/>
      <x:c r="K156" s="26"/>
      <x:c r="L156" s="26"/>
      <x:c r="M156" s="26"/>
      <x:c r="N156" s="26"/>
      <x:c r="O156" s="26"/>
      <x:c r="P156" s="26"/>
      <x:c r="Q156" s="26"/>
      <x:c r="R156" s="26"/>
      <x:c r="S156" s="26"/>
      <x:c r="T156" s="26"/>
      <x:c r="U156" s="26"/>
      <x:c r="V156" s="26"/>
      <x:c r="W156" s="26"/>
      <x:c r="X156" s="26"/>
      <x:c r="Y156" s="26"/>
      <x:c r="Z156" s="26"/>
    </x:row>
    <x:row r="157">
      <x:c r="A157" s="26"/>
      <x:c r="B157" s="26"/>
      <x:c r="C157" s="26"/>
      <x:c r="D157" s="26"/>
      <x:c r="E157" s="26"/>
      <x:c r="F157" s="26"/>
      <x:c r="G157" s="26"/>
      <x:c r="H157" s="26"/>
      <x:c r="I157" s="26"/>
      <x:c r="J157" s="26"/>
      <x:c r="K157" s="26"/>
      <x:c r="L157" s="26"/>
      <x:c r="M157" s="26"/>
      <x:c r="N157" s="26"/>
      <x:c r="O157" s="26"/>
      <x:c r="P157" s="26"/>
      <x:c r="Q157" s="26"/>
      <x:c r="R157" s="26"/>
      <x:c r="S157" s="26"/>
      <x:c r="T157" s="26"/>
      <x:c r="U157" s="26"/>
      <x:c r="V157" s="26"/>
      <x:c r="W157" s="26"/>
      <x:c r="X157" s="26"/>
      <x:c r="Y157" s="26"/>
      <x:c r="Z157" s="26"/>
    </x:row>
    <x:row r="158">
      <x:c r="A158" s="26"/>
      <x:c r="B158" s="26"/>
      <x:c r="C158" s="26"/>
      <x:c r="D158" s="26"/>
      <x:c r="E158" s="26"/>
      <x:c r="F158" s="26"/>
      <x:c r="G158" s="26"/>
      <x:c r="H158" s="26"/>
      <x:c r="I158" s="26"/>
      <x:c r="J158" s="26"/>
      <x:c r="K158" s="26"/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</x:row>
    <x:row r="159">
      <x:c r="A159" s="26"/>
      <x:c r="B159" s="26"/>
      <x:c r="C159" s="26"/>
      <x:c r="D159" s="26"/>
      <x:c r="E159" s="26"/>
      <x:c r="F159" s="26"/>
      <x:c r="G159" s="26"/>
      <x:c r="H159" s="26"/>
      <x:c r="I159" s="26"/>
      <x:c r="J159" s="26"/>
      <x:c r="K159" s="26"/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</x:row>
    <x:row r="160">
      <x:c r="A160" s="26"/>
      <x:c r="B160" s="26"/>
      <x:c r="C160" s="26"/>
      <x:c r="D160" s="26"/>
      <x:c r="E160" s="26"/>
      <x:c r="F160" s="26"/>
      <x:c r="G160" s="26"/>
      <x:c r="H160" s="26"/>
      <x:c r="I160" s="26"/>
      <x:c r="J160" s="26"/>
      <x:c r="K160" s="26"/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</x:row>
    <x:row r="161">
      <x:c r="A161" s="26"/>
      <x:c r="B161" s="26"/>
      <x:c r="C161" s="26"/>
      <x:c r="D161" s="26"/>
      <x:c r="E161" s="26"/>
      <x:c r="F161" s="26"/>
      <x:c r="G161" s="26"/>
      <x:c r="H161" s="26"/>
      <x:c r="I161" s="26"/>
      <x:c r="J161" s="26"/>
      <x:c r="K161" s="26"/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</x:row>
    <x:row r="162">
      <x:c r="A162" s="26"/>
      <x:c r="B162" s="26"/>
      <x:c r="C162" s="26"/>
      <x:c r="D162" s="26"/>
      <x:c r="E162" s="26"/>
      <x:c r="F162" s="26"/>
      <x:c r="G162" s="26"/>
      <x:c r="H162" s="26"/>
      <x:c r="I162" s="26"/>
      <x:c r="J162" s="26"/>
      <x:c r="K162" s="26"/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</x:row>
    <x:row r="163">
      <x:c r="A163" s="26"/>
      <x:c r="B163" s="26"/>
      <x:c r="C163" s="26"/>
      <x:c r="D163" s="26"/>
      <x:c r="E163" s="26"/>
      <x:c r="F163" s="26"/>
      <x:c r="G163" s="26"/>
      <x:c r="H163" s="26"/>
      <x:c r="I163" s="26"/>
      <x:c r="J163" s="26"/>
      <x:c r="K163" s="26"/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</x:row>
    <x:row r="164">
      <x:c r="A164" s="26"/>
      <x:c r="B164" s="26"/>
      <x:c r="C164" s="26"/>
      <x:c r="D164" s="26"/>
      <x:c r="E164" s="26"/>
      <x:c r="F164" s="26"/>
      <x:c r="G164" s="26"/>
      <x:c r="H164" s="26"/>
      <x:c r="I164" s="26"/>
      <x:c r="J164" s="26"/>
      <x:c r="K164" s="26"/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</x:row>
    <x:row r="165">
      <x:c r="A165" s="26"/>
      <x:c r="B165" s="26"/>
      <x:c r="C165" s="26"/>
      <x:c r="D165" s="26"/>
      <x:c r="E165" s="26"/>
      <x:c r="F165" s="26"/>
      <x:c r="G165" s="26"/>
      <x:c r="H165" s="26"/>
      <x:c r="I165" s="26"/>
      <x:c r="J165" s="26"/>
      <x:c r="K165" s="26"/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</x:row>
    <x:row r="166">
      <x:c r="A166" s="26"/>
      <x:c r="B166" s="26"/>
      <x:c r="C166" s="26"/>
      <x:c r="D166" s="26"/>
      <x:c r="E166" s="26"/>
      <x:c r="F166" s="26"/>
      <x:c r="G166" s="26"/>
      <x:c r="H166" s="26"/>
      <x:c r="I166" s="26"/>
      <x:c r="J166" s="26"/>
      <x:c r="K166" s="26"/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</x:row>
    <x:row r="167">
      <x:c r="A167" s="26"/>
      <x:c r="B167" s="26"/>
      <x:c r="C167" s="26"/>
      <x:c r="D167" s="26"/>
      <x:c r="E167" s="26"/>
      <x:c r="F167" s="26"/>
      <x:c r="G167" s="26"/>
      <x:c r="H167" s="26"/>
      <x:c r="I167" s="26"/>
      <x:c r="J167" s="26"/>
      <x:c r="K167" s="26"/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</x:row>
    <x:row r="168">
      <x:c r="A168" s="26"/>
      <x:c r="B168" s="26"/>
      <x:c r="C168" s="26"/>
      <x:c r="D168" s="26"/>
      <x:c r="E168" s="26"/>
      <x:c r="F168" s="26"/>
      <x:c r="G168" s="26"/>
      <x:c r="H168" s="26"/>
      <x:c r="I168" s="26"/>
      <x:c r="J168" s="26"/>
      <x:c r="K168" s="26"/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</x:row>
    <x:row r="169">
      <x:c r="A169" s="26"/>
      <x:c r="B169" s="26"/>
      <x:c r="C169" s="26"/>
      <x:c r="D169" s="26"/>
      <x:c r="E169" s="26"/>
      <x:c r="F169" s="26"/>
      <x:c r="G169" s="26"/>
      <x:c r="H169" s="26"/>
      <x:c r="I169" s="26"/>
      <x:c r="J169" s="26"/>
      <x:c r="K169" s="26"/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</x:row>
    <x:row r="170">
      <x:c r="A170" s="26"/>
      <x:c r="B170" s="26"/>
      <x:c r="C170" s="26"/>
      <x:c r="D170" s="26"/>
      <x:c r="E170" s="26"/>
      <x:c r="F170" s="26"/>
      <x:c r="G170" s="26"/>
      <x:c r="H170" s="26"/>
      <x:c r="I170" s="26"/>
      <x:c r="J170" s="26"/>
      <x:c r="K170" s="26"/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</x:row>
    <x:row r="171">
      <x:c r="A171" s="26"/>
      <x:c r="B171" s="26"/>
      <x:c r="C171" s="26"/>
      <x:c r="D171" s="26"/>
      <x:c r="E171" s="26"/>
      <x:c r="F171" s="26"/>
      <x:c r="G171" s="26"/>
      <x:c r="H171" s="26"/>
      <x:c r="I171" s="26"/>
      <x:c r="J171" s="26"/>
      <x:c r="K171" s="26"/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</x:row>
    <x:row r="172">
      <x:c r="A172" s="26"/>
      <x:c r="B172" s="26"/>
      <x:c r="C172" s="26"/>
      <x:c r="D172" s="26"/>
      <x:c r="E172" s="26"/>
      <x:c r="F172" s="26"/>
      <x:c r="G172" s="26"/>
      <x:c r="H172" s="26"/>
      <x:c r="I172" s="26"/>
      <x:c r="J172" s="26"/>
      <x:c r="K172" s="26"/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</x:row>
    <x:row r="173">
      <x:c r="A173" s="26"/>
      <x:c r="B173" s="26"/>
      <x:c r="C173" s="26"/>
      <x:c r="D173" s="26"/>
      <x:c r="E173" s="26"/>
      <x:c r="F173" s="26"/>
      <x:c r="G173" s="26"/>
      <x:c r="H173" s="26"/>
      <x:c r="I173" s="26"/>
      <x:c r="J173" s="26"/>
      <x:c r="K173" s="26"/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</x:row>
    <x:row r="174">
      <x:c r="A174" s="26"/>
      <x:c r="B174" s="26"/>
      <x:c r="C174" s="26"/>
      <x:c r="D174" s="26"/>
      <x:c r="E174" s="26"/>
      <x:c r="F174" s="26"/>
      <x:c r="G174" s="26"/>
      <x:c r="H174" s="26"/>
      <x:c r="I174" s="26"/>
      <x:c r="J174" s="26"/>
      <x:c r="K174" s="26"/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</x:row>
    <x:row r="175">
      <x:c r="A175" s="26"/>
      <x:c r="B175" s="26"/>
      <x:c r="C175" s="26"/>
      <x:c r="D175" s="26"/>
      <x:c r="E175" s="26"/>
      <x:c r="F175" s="26"/>
      <x:c r="G175" s="26"/>
      <x:c r="H175" s="26"/>
      <x:c r="I175" s="26"/>
      <x:c r="J175" s="26"/>
      <x:c r="K175" s="26"/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</x:row>
    <x:row r="176">
      <x:c r="A176" s="26"/>
      <x:c r="B176" s="26"/>
      <x:c r="C176" s="26"/>
      <x:c r="D176" s="26"/>
      <x:c r="E176" s="26"/>
      <x:c r="F176" s="26"/>
      <x:c r="G176" s="26"/>
      <x:c r="H176" s="26"/>
      <x:c r="I176" s="26"/>
      <x:c r="J176" s="26"/>
      <x:c r="K176" s="26"/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</x:row>
    <x:row r="177">
      <x:c r="A177" s="26"/>
      <x:c r="B177" s="26"/>
      <x:c r="C177" s="26"/>
      <x:c r="D177" s="26"/>
      <x:c r="E177" s="26"/>
      <x:c r="F177" s="26"/>
      <x:c r="G177" s="26"/>
      <x:c r="H177" s="26"/>
      <x:c r="I177" s="26"/>
      <x:c r="J177" s="26"/>
      <x:c r="K177" s="26"/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</x:row>
    <x:row r="178">
      <x:c r="A178" s="26"/>
      <x:c r="B178" s="26"/>
      <x:c r="C178" s="26"/>
      <x:c r="D178" s="26"/>
      <x:c r="E178" s="26"/>
      <x:c r="F178" s="26"/>
      <x:c r="G178" s="26"/>
      <x:c r="H178" s="26"/>
      <x:c r="I178" s="26"/>
      <x:c r="J178" s="26"/>
      <x:c r="K178" s="26"/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</x:row>
    <x:row r="179">
      <x:c r="A179" s="26"/>
      <x:c r="B179" s="26"/>
      <x:c r="C179" s="26"/>
      <x:c r="D179" s="26"/>
      <x:c r="E179" s="26"/>
      <x:c r="F179" s="26"/>
      <x:c r="G179" s="26"/>
      <x:c r="H179" s="26"/>
      <x:c r="I179" s="26"/>
      <x:c r="J179" s="26"/>
      <x:c r="K179" s="26"/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</x:row>
    <x:row r="180">
      <x:c r="A180" s="26"/>
      <x:c r="B180" s="26"/>
      <x:c r="C180" s="26"/>
      <x:c r="D180" s="26"/>
      <x:c r="E180" s="26"/>
      <x:c r="F180" s="26"/>
      <x:c r="G180" s="26"/>
      <x:c r="H180" s="26"/>
      <x:c r="I180" s="26"/>
      <x:c r="J180" s="26"/>
      <x:c r="K180" s="26"/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</x:row>
    <x:row r="181">
      <x:c r="A181" s="26"/>
      <x:c r="B181" s="26"/>
      <x:c r="C181" s="26"/>
      <x:c r="D181" s="26"/>
      <x:c r="E181" s="26"/>
      <x:c r="F181" s="26"/>
      <x:c r="G181" s="26"/>
      <x:c r="H181" s="26"/>
      <x:c r="I181" s="26"/>
      <x:c r="J181" s="26"/>
      <x:c r="K181" s="26"/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</x:row>
    <x:row r="182">
      <x:c r="A182" s="26"/>
      <x:c r="B182" s="26"/>
      <x:c r="C182" s="26"/>
      <x:c r="D182" s="26"/>
      <x:c r="E182" s="26"/>
      <x:c r="F182" s="26"/>
      <x:c r="G182" s="26"/>
      <x:c r="H182" s="26"/>
      <x:c r="I182" s="26"/>
      <x:c r="J182" s="26"/>
      <x:c r="K182" s="26"/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</x:row>
    <x:row r="183">
      <x:c r="A183" s="26"/>
      <x:c r="B183" s="26"/>
      <x:c r="C183" s="26"/>
      <x:c r="D183" s="26"/>
      <x:c r="E183" s="26"/>
      <x:c r="F183" s="26"/>
      <x:c r="G183" s="26"/>
      <x:c r="H183" s="26"/>
      <x:c r="I183" s="26"/>
      <x:c r="J183" s="26"/>
      <x:c r="K183" s="26"/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</x:row>
    <x:row r="184">
      <x:c r="A184" s="26"/>
      <x:c r="B184" s="26"/>
      <x:c r="C184" s="26"/>
      <x:c r="D184" s="26"/>
      <x:c r="E184" s="26"/>
      <x:c r="F184" s="26"/>
      <x:c r="G184" s="26"/>
      <x:c r="H184" s="26"/>
      <x:c r="I184" s="26"/>
      <x:c r="J184" s="26"/>
      <x:c r="K184" s="26"/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</x:row>
    <x:row r="185">
      <x:c r="A185" s="26"/>
      <x:c r="B185" s="26"/>
      <x:c r="C185" s="26"/>
      <x:c r="D185" s="26"/>
      <x:c r="E185" s="26"/>
      <x:c r="F185" s="26"/>
      <x:c r="G185" s="26"/>
      <x:c r="H185" s="26"/>
      <x:c r="I185" s="26"/>
      <x:c r="J185" s="26"/>
      <x:c r="K185" s="26"/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</x:row>
    <x:row r="186">
      <x:c r="A186" s="26"/>
      <x:c r="B186" s="26"/>
      <x:c r="C186" s="26"/>
      <x:c r="D186" s="26"/>
      <x:c r="E186" s="26"/>
      <x:c r="F186" s="26"/>
      <x:c r="G186" s="26"/>
      <x:c r="H186" s="26"/>
      <x:c r="I186" s="26"/>
      <x:c r="J186" s="26"/>
      <x:c r="K186" s="26"/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</x:row>
    <x:row r="187">
      <x:c r="A187" s="26"/>
      <x:c r="B187" s="26"/>
      <x:c r="C187" s="26"/>
      <x:c r="D187" s="26"/>
      <x:c r="E187" s="26"/>
      <x:c r="F187" s="26"/>
      <x:c r="G187" s="26"/>
      <x:c r="H187" s="26"/>
      <x:c r="I187" s="26"/>
      <x:c r="J187" s="26"/>
      <x:c r="K187" s="26"/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</x:row>
    <x:row r="188">
      <x:c r="A188" s="26"/>
      <x:c r="B188" s="26"/>
      <x:c r="C188" s="26"/>
      <x:c r="D188" s="26"/>
      <x:c r="E188" s="26"/>
      <x:c r="F188" s="26"/>
      <x:c r="G188" s="26"/>
      <x:c r="H188" s="26"/>
      <x:c r="I188" s="26"/>
      <x:c r="J188" s="26"/>
      <x:c r="K188" s="26"/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</x:row>
    <x:row r="189">
      <x:c r="A189" s="26"/>
      <x:c r="B189" s="26"/>
      <x:c r="C189" s="26"/>
      <x:c r="D189" s="26"/>
      <x:c r="E189" s="26"/>
      <x:c r="F189" s="26"/>
      <x:c r="G189" s="26"/>
      <x:c r="H189" s="26"/>
      <x:c r="I189" s="26"/>
      <x:c r="J189" s="26"/>
      <x:c r="K189" s="26"/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</x:row>
    <x:row r="190">
      <x:c r="A190" s="26"/>
      <x:c r="B190" s="26"/>
      <x:c r="C190" s="26"/>
      <x:c r="D190" s="26"/>
      <x:c r="E190" s="26"/>
      <x:c r="F190" s="26"/>
      <x:c r="G190" s="26"/>
      <x:c r="H190" s="26"/>
      <x:c r="I190" s="26"/>
      <x:c r="J190" s="26"/>
      <x:c r="K190" s="26"/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</x:row>
    <x:row r="191">
      <x:c r="A191" s="26"/>
      <x:c r="B191" s="26"/>
      <x:c r="C191" s="26"/>
      <x:c r="D191" s="26"/>
      <x:c r="E191" s="26"/>
      <x:c r="F191" s="26"/>
      <x:c r="G191" s="26"/>
      <x:c r="H191" s="26"/>
      <x:c r="I191" s="26"/>
      <x:c r="J191" s="26"/>
      <x:c r="K191" s="26"/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</x:row>
    <x:row r="192">
      <x:c r="A192" s="26"/>
      <x:c r="B192" s="26"/>
      <x:c r="C192" s="26"/>
      <x:c r="D192" s="26"/>
      <x:c r="E192" s="26"/>
      <x:c r="F192" s="26"/>
      <x:c r="G192" s="26"/>
      <x:c r="H192" s="26"/>
      <x:c r="I192" s="26"/>
      <x:c r="J192" s="26"/>
      <x:c r="K192" s="26"/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</x:row>
    <x:row r="193">
      <x:c r="A193" s="26"/>
      <x:c r="B193" s="26"/>
      <x:c r="C193" s="26"/>
      <x:c r="D193" s="26"/>
      <x:c r="E193" s="26"/>
      <x:c r="F193" s="26"/>
      <x:c r="G193" s="26"/>
      <x:c r="H193" s="26"/>
      <x:c r="I193" s="26"/>
      <x:c r="J193" s="26"/>
      <x:c r="K193" s="26"/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</x:row>
    <x:row r="194">
      <x:c r="A194" s="26"/>
      <x:c r="B194" s="26"/>
      <x:c r="C194" s="26"/>
      <x:c r="D194" s="26"/>
      <x:c r="E194" s="26"/>
      <x:c r="F194" s="26"/>
      <x:c r="G194" s="26"/>
      <x:c r="H194" s="26"/>
      <x:c r="I194" s="26"/>
      <x:c r="J194" s="26"/>
      <x:c r="K194" s="26"/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</x:row>
    <x:row r="195">
      <x:c r="A195" s="26"/>
      <x:c r="B195" s="26"/>
      <x:c r="C195" s="26"/>
      <x:c r="D195" s="26"/>
      <x:c r="E195" s="26"/>
      <x:c r="F195" s="26"/>
      <x:c r="G195" s="26"/>
      <x:c r="H195" s="26"/>
      <x:c r="I195" s="26"/>
      <x:c r="J195" s="26"/>
      <x:c r="K195" s="26"/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</x:row>
    <x:row r="196">
      <x:c r="A196" s="26"/>
      <x:c r="B196" s="26"/>
      <x:c r="C196" s="26"/>
      <x:c r="D196" s="26"/>
      <x:c r="E196" s="26"/>
      <x:c r="F196" s="26"/>
      <x:c r="G196" s="26"/>
      <x:c r="H196" s="26"/>
      <x:c r="I196" s="26"/>
      <x:c r="J196" s="26"/>
      <x:c r="K196" s="26"/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</x:row>
    <x:row r="197">
      <x:c r="A197" s="26"/>
      <x:c r="B197" s="26"/>
      <x:c r="C197" s="26"/>
      <x:c r="D197" s="26"/>
      <x:c r="E197" s="26"/>
      <x:c r="F197" s="26"/>
      <x:c r="G197" s="26"/>
      <x:c r="H197" s="26"/>
      <x:c r="I197" s="26"/>
      <x:c r="J197" s="26"/>
      <x:c r="K197" s="26"/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</x:row>
    <x:row r="198">
      <x:c r="A198" s="26"/>
      <x:c r="B198" s="26"/>
      <x:c r="C198" s="26"/>
      <x:c r="D198" s="26"/>
      <x:c r="E198" s="26"/>
      <x:c r="F198" s="26"/>
      <x:c r="G198" s="26"/>
      <x:c r="H198" s="26"/>
      <x:c r="I198" s="26"/>
      <x:c r="J198" s="26"/>
      <x:c r="K198" s="26"/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</x:row>
    <x:row r="199">
      <x:c r="A199" s="26"/>
      <x:c r="B199" s="26"/>
      <x:c r="C199" s="26"/>
      <x:c r="D199" s="26"/>
      <x:c r="E199" s="26"/>
      <x:c r="F199" s="26"/>
      <x:c r="G199" s="26"/>
      <x:c r="H199" s="26"/>
      <x:c r="I199" s="26"/>
      <x:c r="J199" s="26"/>
      <x:c r="K199" s="26"/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</x:row>
    <x:row r="200">
      <x:c r="A200" s="26"/>
      <x:c r="B200" s="26"/>
      <x:c r="C200" s="26"/>
      <x:c r="D200" s="26"/>
      <x:c r="E200" s="26"/>
      <x:c r="F200" s="26"/>
      <x:c r="G200" s="26"/>
      <x:c r="H200" s="26"/>
      <x:c r="I200" s="26"/>
      <x:c r="J200" s="26"/>
      <x:c r="K200" s="26"/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e05f52a36bdb432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 ht="28" customHeight="1">
      <x:c r="A1" s="50" t="str">
        <x:v>Costs Forecast</x:v>
      </x:c>
      <x:c r="B1" s="50"/>
      <x:c r="C1" s="50"/>
      <x:c r="D1" s="50"/>
      <x:c r="E1" s="50"/>
      <x:c r="F1" s="50"/>
      <x:c r="G1" s="50"/>
      <x:c r="H1" s="50"/>
      <x:c r="I1" s="50"/>
      <x:c r="J1" s="50"/>
      <x:c r="K1" s="50"/>
      <x:c r="L1" s="50"/>
      <x:c r="M1" s="50"/>
      <x:c r="N1" s="50"/>
      <x:c r="O1" s="50"/>
      <x:c r="P1" s="26"/>
      <x:c r="Q1" s="26"/>
      <x:c r="R1" s="26"/>
      <x:c r="S1" s="26"/>
      <x:c r="T1" s="26"/>
      <x:c r="U1" s="26"/>
      <x:c r="V1" s="26"/>
      <x:c r="W1" s="26"/>
      <x:c r="X1" s="26"/>
      <x:c r="Y1" s="26"/>
      <x:c r="Z1" s="26"/>
    </x:row>
    <x:row r="2">
      <x:c r="A2" s="26"/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</x:row>
    <x:row r="3">
      <x:c r="A3" s="14" t="str">
        <x:v>Month #</x:v>
      </x:c>
      <x:c r="B3" s="14" t="str">
        <x:v>Month</x:v>
      </x:c>
      <x:c r="C3" s="14" t="str">
        <x:v>Revenue</x:v>
      </x:c>
      <x:c r="D3" s="14" t="str">
        <x:v>Active Paid Users</x:v>
      </x:c>
      <x:c r="E3" s="14" t="str">
        <x:v>Hosting / user</x:v>
      </x:c>
      <x:c r="F3" s="14" t="str">
        <x:v>Support / user</x:v>
      </x:c>
      <x:c r="G3" s="14" t="str">
        <x:v>Payment Processing</x:v>
      </x:c>
      <x:c r="H3" s="14" t="str">
        <x:v>COGS Total</x:v>
      </x:c>
      <x:c r="I3" s="14" t="str">
        <x:v>Gross Profit</x:v>
      </x:c>
      <x:c r="J3" s="14" t="str">
        <x:v>Marketing Spend</x:v>
      </x:c>
      <x:c r="K3" s="14" t="str">
        <x:v>Founder/Sales Cost</x:v>
      </x:c>
      <x:c r="L3" s="14" t="str">
        <x:v>Fixed Dev Cost</x:v>
      </x:c>
      <x:c r="M3" s="14" t="str">
        <x:v>Fixed Ops Cost</x:v>
      </x:c>
      <x:c r="N3" s="14" t="str">
        <x:v>Operating Costs</x:v>
      </x:c>
      <x:c r="O3" s="14" t="str">
        <x:v>Net Burn / Cash Flow</x:v>
      </x:c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</x:row>
    <x:row r="4">
      <x:c r="A4" s="26" t="n">
        <x:f>Revenue!A4</x:f>
        <x:v>1</x:v>
      </x:c>
      <x:c r="B4" s="52" t="str">
        <x:f>Revenue!B4</x:f>
        <x:v>2026-06-01</x:v>
      </x:c>
      <x:c r="C4" s="58" t="n">
        <x:f>Revenue!I4</x:f>
        <x:v>224330.04000000004</x:v>
      </x:c>
      <x:c r="D4" s="58" t="n">
        <x:f>Revenue!C4</x:f>
        <x:v>5.940000000000001</x:v>
      </x:c>
      <x:c r="E4" s="58" t="n">
        <x:f>D4*Assumptions!$C$26</x:f>
        <x:v>2079.0000000000005</x:v>
      </x:c>
      <x:c r="F4" s="58" t="n">
        <x:f>D4*Assumptions!$C$27*Assumptions!$C$28</x:f>
        <x:v>2851.2000000000003</x:v>
      </x:c>
      <x:c r="G4" s="58" t="n">
        <x:f>C4*Assumptions!$C$29</x:f>
        <x:v>5608.251000000001</x:v>
      </x:c>
      <x:c r="H4" s="58" t="n">
        <x:f>SUM(E4:G4)</x:f>
        <x:v>10538.451000000001</x:v>
      </x:c>
      <x:c r="I4" s="58" t="n">
        <x:f>C4-H4</x:f>
        <x:v>213791.58900000004</x:v>
      </x:c>
      <x:c r="J4" s="58" t="n">
        <x:f>INDEX(Scenarios!$B$10:$D$10,1,MATCH(Assumptions!$C$4,Scenarios!$B$3:$D$3,0))</x:f>
        <x:v>80000</x:v>
      </x:c>
      <x:c r="K4" s="58" t="n">
        <x:f>Assumptions!$C$31*Assumptions!$C$32</x:f>
        <x:v>60000</x:v>
      </x:c>
      <x:c r="L4" s="58" t="n">
        <x:f>INDEX(Scenarios!$B$11:$D$11,1,MATCH(Assumptions!$C$4,Scenarios!$B$3:$D$3,0))</x:f>
        <x:v>250000</x:v>
      </x:c>
      <x:c r="M4" s="58" t="n">
        <x:f>Assumptions!$C$34</x:f>
        <x:v>50000</x:v>
      </x:c>
      <x:c r="N4" s="58" t="n">
        <x:f>SUM(J4:M4)</x:f>
        <x:v>440000</x:v>
      </x:c>
      <x:c r="O4" s="58" t="n">
        <x:f>I4-N4</x:f>
        <x:v>-226208.41099999996</x:v>
      </x:c>
      <x:c r="P4" s="26"/>
      <x:c r="Q4" s="26"/>
      <x:c r="R4" s="26"/>
      <x:c r="S4" s="26"/>
      <x:c r="T4" s="26"/>
      <x:c r="U4" s="26"/>
      <x:c r="V4" s="26"/>
      <x:c r="W4" s="26"/>
      <x:c r="X4" s="26"/>
      <x:c r="Y4" s="26"/>
      <x:c r="Z4" s="26"/>
    </x:row>
    <x:row r="5">
      <x:c r="A5" s="26" t="n">
        <x:f>Revenue!A5</x:f>
        <x:v>2</x:v>
      </x:c>
      <x:c r="B5" s="52" t="n">
        <x:f>Revenue!B5</x:f>
        <x:v>46204</x:v>
      </x:c>
      <x:c r="C5" s="58" t="n">
        <x:f>Revenue!I5</x:f>
        <x:v>448660.0800000001</x:v>
      </x:c>
      <x:c r="D5" s="58" t="n">
        <x:f>Revenue!C5</x:f>
        <x:v>11.880000000000003</x:v>
      </x:c>
      <x:c r="E5" s="58" t="n">
        <x:f>D5*Assumptions!$C$26</x:f>
        <x:v>4158.000000000001</x:v>
      </x:c>
      <x:c r="F5" s="58" t="n">
        <x:f>D5*Assumptions!$C$27*Assumptions!$C$28</x:f>
        <x:v>5702.400000000001</x:v>
      </x:c>
      <x:c r="G5" s="58" t="n">
        <x:f>C5*Assumptions!$C$29</x:f>
        <x:v>11216.502000000002</x:v>
      </x:c>
      <x:c r="H5" s="58" t="n">
        <x:f>SUM(E5:G5)</x:f>
        <x:v>21076.902000000002</x:v>
      </x:c>
      <x:c r="I5" s="58" t="n">
        <x:f>C5-H5</x:f>
        <x:v>427583.1780000001</x:v>
      </x:c>
      <x:c r="J5" s="58" t="n">
        <x:f>INDEX(Scenarios!$B$10:$D$10,1,MATCH(Assumptions!$C$4,Scenarios!$B$3:$D$3,0))</x:f>
        <x:v>80000</x:v>
      </x:c>
      <x:c r="K5" s="58" t="n">
        <x:f>Assumptions!$C$31*Assumptions!$C$32</x:f>
        <x:v>60000</x:v>
      </x:c>
      <x:c r="L5" s="58" t="n">
        <x:f>INDEX(Scenarios!$B$11:$D$11,1,MATCH(Assumptions!$C$4,Scenarios!$B$3:$D$3,0))</x:f>
        <x:v>250000</x:v>
      </x:c>
      <x:c r="M5" s="58" t="n">
        <x:f>Assumptions!$C$34</x:f>
        <x:v>50000</x:v>
      </x:c>
      <x:c r="N5" s="58" t="n">
        <x:f>SUM(J5:M5)</x:f>
        <x:v>440000</x:v>
      </x:c>
      <x:c r="O5" s="58" t="n">
        <x:f>I5-N5</x:f>
        <x:v>-12416.821999999927</x:v>
      </x:c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>
      <x:c r="A6" s="26" t="n">
        <x:f>Revenue!A6</x:f>
        <x:v>3</x:v>
      </x:c>
      <x:c r="B6" s="52" t="n">
        <x:f>Revenue!B6</x:f>
        <x:v>46235</x:v>
      </x:c>
      <x:c r="C6" s="58" t="n">
        <x:f>Revenue!I6</x:f>
        <x:v>672990.1200000001</x:v>
      </x:c>
      <x:c r="D6" s="58" t="n">
        <x:f>Revenue!C6</x:f>
        <x:v>17.820000000000004</x:v>
      </x:c>
      <x:c r="E6" s="58" t="n">
        <x:f>D6*Assumptions!$C$26</x:f>
        <x:v>6237.000000000001</x:v>
      </x:c>
      <x:c r="F6" s="58" t="n">
        <x:f>D6*Assumptions!$C$27*Assumptions!$C$28</x:f>
        <x:v>8553.600000000002</x:v>
      </x:c>
      <x:c r="G6" s="58" t="n">
        <x:f>C6*Assumptions!$C$29</x:f>
        <x:v>16824.753000000004</x:v>
      </x:c>
      <x:c r="H6" s="58" t="n">
        <x:f>SUM(E6:G6)</x:f>
        <x:v>31615.353000000006</x:v>
      </x:c>
      <x:c r="I6" s="58" t="n">
        <x:f>C6-H6</x:f>
        <x:v>641374.7670000001</x:v>
      </x:c>
      <x:c r="J6" s="58" t="n">
        <x:f>INDEX(Scenarios!$B$10:$D$10,1,MATCH(Assumptions!$C$4,Scenarios!$B$3:$D$3,0))</x:f>
        <x:v>80000</x:v>
      </x:c>
      <x:c r="K6" s="58" t="n">
        <x:f>Assumptions!$C$31*Assumptions!$C$32</x:f>
        <x:v>60000</x:v>
      </x:c>
      <x:c r="L6" s="58" t="n">
        <x:f>INDEX(Scenarios!$B$11:$D$11,1,MATCH(Assumptions!$C$4,Scenarios!$B$3:$D$3,0))</x:f>
        <x:v>250000</x:v>
      </x:c>
      <x:c r="M6" s="58" t="n">
        <x:f>Assumptions!$C$34</x:f>
        <x:v>50000</x:v>
      </x:c>
      <x:c r="N6" s="58" t="n">
        <x:f>SUM(J6:M6)</x:f>
        <x:v>440000</x:v>
      </x:c>
      <x:c r="O6" s="58" t="n">
        <x:f>I6-N6</x:f>
        <x:v>201374.7670000001</x:v>
      </x:c>
      <x:c r="P6" s="26"/>
      <x:c r="Q6" s="26"/>
      <x:c r="R6" s="26"/>
      <x:c r="S6" s="26"/>
      <x:c r="T6" s="26"/>
      <x:c r="U6" s="26"/>
      <x:c r="V6" s="26"/>
      <x:c r="W6" s="26"/>
      <x:c r="X6" s="26"/>
      <x:c r="Y6" s="26"/>
      <x:c r="Z6" s="26"/>
    </x:row>
    <x:row r="7">
      <x:c r="A7" s="26" t="n">
        <x:f>Revenue!A7</x:f>
        <x:v>4</x:v>
      </x:c>
      <x:c r="B7" s="52" t="n">
        <x:f>Revenue!B7</x:f>
        <x:v>46266</x:v>
      </x:c>
      <x:c r="C7" s="58" t="n">
        <x:f>Revenue!I7</x:f>
        <x:v>897320.1600000001</x:v>
      </x:c>
      <x:c r="D7" s="58" t="n">
        <x:f>Revenue!C7</x:f>
        <x:v>23.760000000000005</x:v>
      </x:c>
      <x:c r="E7" s="58" t="n">
        <x:f>D7*Assumptions!$C$26</x:f>
        <x:v>8316.000000000002</x:v>
      </x:c>
      <x:c r="F7" s="58" t="n">
        <x:f>D7*Assumptions!$C$27*Assumptions!$C$28</x:f>
        <x:v>11404.800000000001</x:v>
      </x:c>
      <x:c r="G7" s="58" t="n">
        <x:f>C7*Assumptions!$C$29</x:f>
        <x:v>22433.004000000004</x:v>
      </x:c>
      <x:c r="H7" s="58" t="n">
        <x:f>SUM(E7:G7)</x:f>
        <x:v>42153.804000000004</x:v>
      </x:c>
      <x:c r="I7" s="58" t="n">
        <x:f>C7-H7</x:f>
        <x:v>855166.3560000001</x:v>
      </x:c>
      <x:c r="J7" s="58" t="n">
        <x:f>INDEX(Scenarios!$B$10:$D$10,1,MATCH(Assumptions!$C$4,Scenarios!$B$3:$D$3,0))</x:f>
        <x:v>80000</x:v>
      </x:c>
      <x:c r="K7" s="58" t="n">
        <x:f>Assumptions!$C$31*Assumptions!$C$32</x:f>
        <x:v>60000</x:v>
      </x:c>
      <x:c r="L7" s="58" t="n">
        <x:f>INDEX(Scenarios!$B$11:$D$11,1,MATCH(Assumptions!$C$4,Scenarios!$B$3:$D$3,0))</x:f>
        <x:v>250000</x:v>
      </x:c>
      <x:c r="M7" s="58" t="n">
        <x:f>Assumptions!$C$34</x:f>
        <x:v>50000</x:v>
      </x:c>
      <x:c r="N7" s="58" t="n">
        <x:f>SUM(J7:M7)</x:f>
        <x:v>440000</x:v>
      </x:c>
      <x:c r="O7" s="58" t="n">
        <x:f>I7-N7</x:f>
        <x:v>415166.35600000015</x:v>
      </x:c>
      <x:c r="P7" s="26"/>
      <x:c r="Q7" s="26"/>
      <x:c r="R7" s="26"/>
      <x:c r="S7" s="26"/>
      <x:c r="T7" s="26"/>
      <x:c r="U7" s="26"/>
      <x:c r="V7" s="26"/>
      <x:c r="W7" s="26"/>
      <x:c r="X7" s="26"/>
      <x:c r="Y7" s="26"/>
      <x:c r="Z7" s="26"/>
    </x:row>
    <x:row r="8">
      <x:c r="A8" s="26" t="n">
        <x:f>Revenue!A8</x:f>
        <x:v>5</x:v>
      </x:c>
      <x:c r="B8" s="52" t="n">
        <x:f>Revenue!B8</x:f>
        <x:v>46296</x:v>
      </x:c>
      <x:c r="C8" s="58" t="n">
        <x:f>Revenue!I8</x:f>
        <x:v>1121650.2000000002</x:v>
      </x:c>
      <x:c r="D8" s="58" t="n">
        <x:f>Revenue!C8</x:f>
        <x:v>29.700000000000006</x:v>
      </x:c>
      <x:c r="E8" s="58" t="n">
        <x:f>D8*Assumptions!$C$26</x:f>
        <x:v>10395.000000000002</x:v>
      </x:c>
      <x:c r="F8" s="58" t="n">
        <x:f>D8*Assumptions!$C$27*Assumptions!$C$28</x:f>
        <x:v>14256.000000000004</x:v>
      </x:c>
      <x:c r="G8" s="58" t="n">
        <x:f>C8*Assumptions!$C$29</x:f>
        <x:v>28041.255000000005</x:v>
      </x:c>
      <x:c r="H8" s="58" t="n">
        <x:f>SUM(E8:G8)</x:f>
        <x:v>52692.25500000001</x:v>
      </x:c>
      <x:c r="I8" s="58" t="n">
        <x:f>C8-H8</x:f>
        <x:v>1068957.945</x:v>
      </x:c>
      <x:c r="J8" s="58" t="n">
        <x:f>INDEX(Scenarios!$B$10:$D$10,1,MATCH(Assumptions!$C$4,Scenarios!$B$3:$D$3,0))</x:f>
        <x:v>80000</x:v>
      </x:c>
      <x:c r="K8" s="58" t="n">
        <x:f>Assumptions!$C$31*Assumptions!$C$32</x:f>
        <x:v>60000</x:v>
      </x:c>
      <x:c r="L8" s="58" t="n">
        <x:f>INDEX(Scenarios!$B$11:$D$11,1,MATCH(Assumptions!$C$4,Scenarios!$B$3:$D$3,0))</x:f>
        <x:v>250000</x:v>
      </x:c>
      <x:c r="M8" s="58" t="n">
        <x:f>Assumptions!$C$34</x:f>
        <x:v>50000</x:v>
      </x:c>
      <x:c r="N8" s="58" t="n">
        <x:f>SUM(J8:M8)</x:f>
        <x:v>440000</x:v>
      </x:c>
      <x:c r="O8" s="58" t="n">
        <x:f>I8-N8</x:f>
        <x:v>628957.9450000001</x:v>
      </x:c>
      <x:c r="P8" s="26"/>
      <x:c r="Q8" s="26"/>
      <x:c r="R8" s="26"/>
      <x:c r="S8" s="26"/>
      <x:c r="T8" s="26"/>
      <x:c r="U8" s="26"/>
      <x:c r="V8" s="26"/>
      <x:c r="W8" s="26"/>
      <x:c r="X8" s="26"/>
      <x:c r="Y8" s="26"/>
      <x:c r="Z8" s="26"/>
    </x:row>
    <x:row r="9">
      <x:c r="A9" s="26" t="n">
        <x:f>Revenue!A9</x:f>
        <x:v>6</x:v>
      </x:c>
      <x:c r="B9" s="52" t="n">
        <x:f>Revenue!B9</x:f>
        <x:v>46327</x:v>
      </x:c>
      <x:c r="C9" s="58" t="n">
        <x:f>Revenue!I9</x:f>
        <x:v>1345980.2400000002</x:v>
      </x:c>
      <x:c r="D9" s="58" t="n">
        <x:f>Revenue!C9</x:f>
        <x:v>35.64000000000001</x:v>
      </x:c>
      <x:c r="E9" s="58" t="n">
        <x:f>D9*Assumptions!$C$26</x:f>
        <x:v>12474.000000000002</x:v>
      </x:c>
      <x:c r="F9" s="58" t="n">
        <x:f>D9*Assumptions!$C$27*Assumptions!$C$28</x:f>
        <x:v>17107.200000000004</x:v>
      </x:c>
      <x:c r="G9" s="58" t="n">
        <x:f>C9*Assumptions!$C$29</x:f>
        <x:v>33649.50600000001</x:v>
      </x:c>
      <x:c r="H9" s="58" t="n">
        <x:f>SUM(E9:G9)</x:f>
        <x:v>63230.70600000001</x:v>
      </x:c>
      <x:c r="I9" s="58" t="n">
        <x:f>C9-H9</x:f>
        <x:v>1282749.5340000002</x:v>
      </x:c>
      <x:c r="J9" s="58" t="n">
        <x:f>INDEX(Scenarios!$B$10:$D$10,1,MATCH(Assumptions!$C$4,Scenarios!$B$3:$D$3,0))</x:f>
        <x:v>80000</x:v>
      </x:c>
      <x:c r="K9" s="58" t="n">
        <x:f>Assumptions!$C$31*Assumptions!$C$32</x:f>
        <x:v>60000</x:v>
      </x:c>
      <x:c r="L9" s="58" t="n">
        <x:f>INDEX(Scenarios!$B$11:$D$11,1,MATCH(Assumptions!$C$4,Scenarios!$B$3:$D$3,0))</x:f>
        <x:v>250000</x:v>
      </x:c>
      <x:c r="M9" s="58" t="n">
        <x:f>Assumptions!$C$34</x:f>
        <x:v>50000</x:v>
      </x:c>
      <x:c r="N9" s="58" t="n">
        <x:f>SUM(J9:M9)</x:f>
        <x:v>440000</x:v>
      </x:c>
      <x:c r="O9" s="58" t="n">
        <x:f>I9-N9</x:f>
        <x:v>842749.5340000002</x:v>
      </x:c>
      <x:c r="P9" s="26"/>
      <x:c r="Q9" s="26"/>
      <x:c r="R9" s="26"/>
      <x:c r="S9" s="26"/>
      <x:c r="T9" s="26"/>
      <x:c r="U9" s="26"/>
      <x:c r="V9" s="26"/>
      <x:c r="W9" s="26"/>
      <x:c r="X9" s="26"/>
      <x:c r="Y9" s="26"/>
      <x:c r="Z9" s="26"/>
    </x:row>
    <x:row r="10">
      <x:c r="A10" s="26" t="n">
        <x:f>Revenue!A10</x:f>
        <x:v>7</x:v>
      </x:c>
      <x:c r="B10" s="52" t="n">
        <x:f>Revenue!B10</x:f>
        <x:v>46357</x:v>
      </x:c>
      <x:c r="C10" s="58" t="n">
        <x:f>Revenue!I10</x:f>
        <x:v>1570310.2800000005</x:v>
      </x:c>
      <x:c r="D10" s="58" t="n">
        <x:f>Revenue!C10</x:f>
        <x:v>41.58000000000001</x:v>
      </x:c>
      <x:c r="E10" s="58" t="n">
        <x:f>D10*Assumptions!$C$26</x:f>
        <x:v>14553.000000000004</x:v>
      </x:c>
      <x:c r="F10" s="58" t="n">
        <x:f>D10*Assumptions!$C$27*Assumptions!$C$28</x:f>
        <x:v>19958.400000000005</x:v>
      </x:c>
      <x:c r="G10" s="58" t="n">
        <x:f>C10*Assumptions!$C$29</x:f>
        <x:v>39257.75700000001</x:v>
      </x:c>
      <x:c r="H10" s="58" t="n">
        <x:f>SUM(E10:G10)</x:f>
        <x:v>73769.15700000002</x:v>
      </x:c>
      <x:c r="I10" s="58" t="n">
        <x:f>C10-H10</x:f>
        <x:v>1496541.1230000004</x:v>
      </x:c>
      <x:c r="J10" s="58" t="n">
        <x:f>INDEX(Scenarios!$B$10:$D$10,1,MATCH(Assumptions!$C$4,Scenarios!$B$3:$D$3,0))</x:f>
        <x:v>80000</x:v>
      </x:c>
      <x:c r="K10" s="58" t="n">
        <x:f>Assumptions!$C$31*Assumptions!$C$32</x:f>
        <x:v>60000</x:v>
      </x:c>
      <x:c r="L10" s="58" t="n">
        <x:f>INDEX(Scenarios!$B$11:$D$11,1,MATCH(Assumptions!$C$4,Scenarios!$B$3:$D$3,0))</x:f>
        <x:v>250000</x:v>
      </x:c>
      <x:c r="M10" s="58" t="n">
        <x:f>Assumptions!$C$34</x:f>
        <x:v>50000</x:v>
      </x:c>
      <x:c r="N10" s="58" t="n">
        <x:f>SUM(J10:M10)</x:f>
        <x:v>440000</x:v>
      </x:c>
      <x:c r="O10" s="58" t="n">
        <x:f>I10-N10</x:f>
        <x:v>1056541.1230000004</x:v>
      </x:c>
      <x:c r="P10" s="26"/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</x:row>
    <x:row r="11">
      <x:c r="A11" s="26" t="n">
        <x:f>Revenue!A11</x:f>
        <x:v>8</x:v>
      </x:c>
      <x:c r="B11" s="52" t="n">
        <x:f>Revenue!B11</x:f>
        <x:v>46388</x:v>
      </x:c>
      <x:c r="C11" s="58" t="n">
        <x:f>Revenue!I11</x:f>
        <x:v>1794640.3200000003</x:v>
      </x:c>
      <x:c r="D11" s="58" t="n">
        <x:f>Revenue!C11</x:f>
        <x:v>47.52000000000001</x:v>
      </x:c>
      <x:c r="E11" s="58" t="n">
        <x:f>D11*Assumptions!$C$26</x:f>
        <x:v>16632.000000000004</x:v>
      </x:c>
      <x:c r="F11" s="58" t="n">
        <x:f>D11*Assumptions!$C$27*Assumptions!$C$28</x:f>
        <x:v>22809.600000000002</x:v>
      </x:c>
      <x:c r="G11" s="58" t="n">
        <x:f>C11*Assumptions!$C$29</x:f>
        <x:v>44866.00800000001</x:v>
      </x:c>
      <x:c r="H11" s="58" t="n">
        <x:f>SUM(E11:G11)</x:f>
        <x:v>84307.60800000001</x:v>
      </x:c>
      <x:c r="I11" s="58" t="n">
        <x:f>C11-H11</x:f>
        <x:v>1710332.7120000003</x:v>
      </x:c>
      <x:c r="J11" s="58" t="n">
        <x:f>INDEX(Scenarios!$B$10:$D$10,1,MATCH(Assumptions!$C$4,Scenarios!$B$3:$D$3,0))</x:f>
        <x:v>80000</x:v>
      </x:c>
      <x:c r="K11" s="58" t="n">
        <x:f>Assumptions!$C$31*Assumptions!$C$32</x:f>
        <x:v>60000</x:v>
      </x:c>
      <x:c r="L11" s="58" t="n">
        <x:f>INDEX(Scenarios!$B$11:$D$11,1,MATCH(Assumptions!$C$4,Scenarios!$B$3:$D$3,0))</x:f>
        <x:v>250000</x:v>
      </x:c>
      <x:c r="M11" s="58" t="n">
        <x:f>Assumptions!$C$34</x:f>
        <x:v>50000</x:v>
      </x:c>
      <x:c r="N11" s="58" t="n">
        <x:f>SUM(J11:M11)</x:f>
        <x:v>440000</x:v>
      </x:c>
      <x:c r="O11" s="58" t="n">
        <x:f>I11-N11</x:f>
        <x:v>1270332.7120000003</x:v>
      </x:c>
      <x:c r="P11" s="26"/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</x:row>
    <x:row r="12">
      <x:c r="A12" s="26" t="n">
        <x:f>Revenue!A12</x:f>
        <x:v>9</x:v>
      </x:c>
      <x:c r="B12" s="52" t="n">
        <x:f>Revenue!B12</x:f>
        <x:v>46419</x:v>
      </x:c>
      <x:c r="C12" s="58" t="n">
        <x:f>Revenue!I12</x:f>
        <x:v>2018970.3600000003</x:v>
      </x:c>
      <x:c r="D12" s="58" t="n">
        <x:f>Revenue!C12</x:f>
        <x:v>53.46000000000001</x:v>
      </x:c>
      <x:c r="E12" s="58" t="n">
        <x:f>D12*Assumptions!$C$26</x:f>
        <x:v>18711.000000000004</x:v>
      </x:c>
      <x:c r="F12" s="58" t="n">
        <x:f>D12*Assumptions!$C$27*Assumptions!$C$28</x:f>
        <x:v>25660.8</x:v>
      </x:c>
      <x:c r="G12" s="58" t="n">
        <x:f>C12*Assumptions!$C$29</x:f>
        <x:v>50474.25900000001</x:v>
      </x:c>
      <x:c r="H12" s="58" t="n">
        <x:f>SUM(E12:G12)</x:f>
        <x:v>94846.05900000001</x:v>
      </x:c>
      <x:c r="I12" s="58" t="n">
        <x:f>C12-H12</x:f>
        <x:v>1924124.3010000004</x:v>
      </x:c>
      <x:c r="J12" s="58" t="n">
        <x:f>INDEX(Scenarios!$B$10:$D$10,1,MATCH(Assumptions!$C$4,Scenarios!$B$3:$D$3,0))</x:f>
        <x:v>80000</x:v>
      </x:c>
      <x:c r="K12" s="58" t="n">
        <x:f>Assumptions!$C$31*Assumptions!$C$32</x:f>
        <x:v>60000</x:v>
      </x:c>
      <x:c r="L12" s="58" t="n">
        <x:f>INDEX(Scenarios!$B$11:$D$11,1,MATCH(Assumptions!$C$4,Scenarios!$B$3:$D$3,0))</x:f>
        <x:v>250000</x:v>
      </x:c>
      <x:c r="M12" s="58" t="n">
        <x:f>Assumptions!$C$34</x:f>
        <x:v>50000</x:v>
      </x:c>
      <x:c r="N12" s="58" t="n">
        <x:f>SUM(J12:M12)</x:f>
        <x:v>440000</x:v>
      </x:c>
      <x:c r="O12" s="58" t="n">
        <x:f>I12-N12</x:f>
        <x:v>1484124.3010000004</x:v>
      </x:c>
      <x:c r="P12" s="26"/>
      <x:c r="Q12" s="26"/>
      <x:c r="R12" s="26"/>
      <x:c r="S12" s="26"/>
      <x:c r="T12" s="26"/>
      <x:c r="U12" s="26"/>
      <x:c r="V12" s="26"/>
      <x:c r="W12" s="26"/>
      <x:c r="X12" s="26"/>
      <x:c r="Y12" s="26"/>
      <x:c r="Z12" s="26"/>
    </x:row>
    <x:row r="13">
      <x:c r="A13" s="26" t="n">
        <x:f>Revenue!A13</x:f>
        <x:v>10</x:v>
      </x:c>
      <x:c r="B13" s="52" t="n">
        <x:f>Revenue!B13</x:f>
        <x:v>46447</x:v>
      </x:c>
      <x:c r="C13" s="58" t="n">
        <x:f>Revenue!I13</x:f>
        <x:v>2243300.4000000004</x:v>
      </x:c>
      <x:c r="D13" s="58" t="n">
        <x:f>Revenue!C13</x:f>
        <x:v>59.400000000000006</x:v>
      </x:c>
      <x:c r="E13" s="58" t="n">
        <x:f>D13*Assumptions!$C$26</x:f>
        <x:v>20790.000000000004</x:v>
      </x:c>
      <x:c r="F13" s="58" t="n">
        <x:f>D13*Assumptions!$C$27*Assumptions!$C$28</x:f>
        <x:v>28512</x:v>
      </x:c>
      <x:c r="G13" s="58" t="n">
        <x:f>C13*Assumptions!$C$29</x:f>
        <x:v>56082.51000000001</x:v>
      </x:c>
      <x:c r="H13" s="58" t="n">
        <x:f>SUM(E13:G13)</x:f>
        <x:v>105384.51000000001</x:v>
      </x:c>
      <x:c r="I13" s="58" t="n">
        <x:f>C13-H13</x:f>
        <x:v>2137915.8900000006</x:v>
      </x:c>
      <x:c r="J13" s="58" t="n">
        <x:f>INDEX(Scenarios!$B$10:$D$10,1,MATCH(Assumptions!$C$4,Scenarios!$B$3:$D$3,0))</x:f>
        <x:v>80000</x:v>
      </x:c>
      <x:c r="K13" s="58" t="n">
        <x:f>Assumptions!$C$31*Assumptions!$C$32</x:f>
        <x:v>60000</x:v>
      </x:c>
      <x:c r="L13" s="58" t="n">
        <x:f>INDEX(Scenarios!$B$11:$D$11,1,MATCH(Assumptions!$C$4,Scenarios!$B$3:$D$3,0))</x:f>
        <x:v>250000</x:v>
      </x:c>
      <x:c r="M13" s="58" t="n">
        <x:f>Assumptions!$C$34</x:f>
        <x:v>50000</x:v>
      </x:c>
      <x:c r="N13" s="58" t="n">
        <x:f>SUM(J13:M13)</x:f>
        <x:v>440000</x:v>
      </x:c>
      <x:c r="O13" s="58" t="n">
        <x:f>I13-N13</x:f>
        <x:v>1697915.8900000006</x:v>
      </x:c>
      <x:c r="P13" s="26"/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</x:row>
    <x:row r="14">
      <x:c r="A14" s="26" t="n">
        <x:f>Revenue!A14</x:f>
        <x:v>11</x:v>
      </x:c>
      <x:c r="B14" s="52" t="n">
        <x:f>Revenue!B14</x:f>
        <x:v>46478</x:v>
      </x:c>
      <x:c r="C14" s="58" t="n">
        <x:f>Revenue!I14</x:f>
        <x:v>2467630.44</x:v>
      </x:c>
      <x:c r="D14" s="58" t="n">
        <x:f>Revenue!C14</x:f>
        <x:v>65.34</x:v>
      </x:c>
      <x:c r="E14" s="58" t="n">
        <x:f>D14*Assumptions!$C$26</x:f>
        <x:v>22869</x:v>
      </x:c>
      <x:c r="F14" s="58" t="n">
        <x:f>D14*Assumptions!$C$27*Assumptions!$C$28</x:f>
        <x:v>31363.2</x:v>
      </x:c>
      <x:c r="G14" s="58" t="n">
        <x:f>C14*Assumptions!$C$29</x:f>
        <x:v>61690.761</x:v>
      </x:c>
      <x:c r="H14" s="58" t="n">
        <x:f>SUM(E14:G14)</x:f>
        <x:v>115922.961</x:v>
      </x:c>
      <x:c r="I14" s="58" t="n">
        <x:f>C14-H14</x:f>
        <x:v>2351707.479</x:v>
      </x:c>
      <x:c r="J14" s="58" t="n">
        <x:f>INDEX(Scenarios!$B$10:$D$10,1,MATCH(Assumptions!$C$4,Scenarios!$B$3:$D$3,0))</x:f>
        <x:v>80000</x:v>
      </x:c>
      <x:c r="K14" s="58" t="n">
        <x:f>Assumptions!$C$31*Assumptions!$C$32</x:f>
        <x:v>60000</x:v>
      </x:c>
      <x:c r="L14" s="58" t="n">
        <x:f>INDEX(Scenarios!$B$11:$D$11,1,MATCH(Assumptions!$C$4,Scenarios!$B$3:$D$3,0))</x:f>
        <x:v>250000</x:v>
      </x:c>
      <x:c r="M14" s="58" t="n">
        <x:f>Assumptions!$C$34</x:f>
        <x:v>50000</x:v>
      </x:c>
      <x:c r="N14" s="58" t="n">
        <x:f>SUM(J14:M14)</x:f>
        <x:v>440000</x:v>
      </x:c>
      <x:c r="O14" s="58" t="n">
        <x:f>I14-N14</x:f>
        <x:v>1911707.4789999998</x:v>
      </x:c>
      <x:c r="P14" s="26"/>
      <x:c r="Q14" s="26"/>
      <x:c r="R14" s="26"/>
      <x:c r="S14" s="26"/>
      <x:c r="T14" s="26"/>
      <x:c r="U14" s="26"/>
      <x:c r="V14" s="26"/>
      <x:c r="W14" s="26"/>
      <x:c r="X14" s="26"/>
      <x:c r="Y14" s="26"/>
      <x:c r="Z14" s="26"/>
    </x:row>
    <x:row r="15">
      <x:c r="A15" s="26" t="n">
        <x:f>Revenue!A15</x:f>
        <x:v>12</x:v>
      </x:c>
      <x:c r="B15" s="52" t="n">
        <x:f>Revenue!B15</x:f>
        <x:v>46508</x:v>
      </x:c>
      <x:c r="C15" s="58" t="n">
        <x:f>Revenue!I15</x:f>
        <x:v>2691960.48</x:v>
      </x:c>
      <x:c r="D15" s="58" t="n">
        <x:f>Revenue!C15</x:f>
        <x:v>71.28</x:v>
      </x:c>
      <x:c r="E15" s="58" t="n">
        <x:f>D15*Assumptions!$C$26</x:f>
        <x:v>24948</x:v>
      </x:c>
      <x:c r="F15" s="58" t="n">
        <x:f>D15*Assumptions!$C$27*Assumptions!$C$28</x:f>
        <x:v>34214.4</x:v>
      </x:c>
      <x:c r="G15" s="58" t="n">
        <x:f>C15*Assumptions!$C$29</x:f>
        <x:v>67299.012</x:v>
      </x:c>
      <x:c r="H15" s="58" t="n">
        <x:f>SUM(E15:G15)</x:f>
        <x:v>126461.41200000001</x:v>
      </x:c>
      <x:c r="I15" s="58" t="n">
        <x:f>C15-H15</x:f>
        <x:v>2565499.068</x:v>
      </x:c>
      <x:c r="J15" s="58" t="n">
        <x:f>INDEX(Scenarios!$B$10:$D$10,1,MATCH(Assumptions!$C$4,Scenarios!$B$3:$D$3,0))</x:f>
        <x:v>80000</x:v>
      </x:c>
      <x:c r="K15" s="58" t="n">
        <x:f>Assumptions!$C$31*Assumptions!$C$32</x:f>
        <x:v>60000</x:v>
      </x:c>
      <x:c r="L15" s="58" t="n">
        <x:f>INDEX(Scenarios!$B$11:$D$11,1,MATCH(Assumptions!$C$4,Scenarios!$B$3:$D$3,0))</x:f>
        <x:v>250000</x:v>
      </x:c>
      <x:c r="M15" s="58" t="n">
        <x:f>Assumptions!$C$34</x:f>
        <x:v>50000</x:v>
      </x:c>
      <x:c r="N15" s="58" t="n">
        <x:f>SUM(J15:M15)</x:f>
        <x:v>440000</x:v>
      </x:c>
      <x:c r="O15" s="58" t="n">
        <x:f>I15-N15</x:f>
        <x:v>2125499.068</x:v>
      </x:c>
      <x:c r="P15" s="26"/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</x:row>
    <x:row r="16">
      <x:c r="A16" s="26" t="n">
        <x:f>Revenue!A16</x:f>
        <x:v>13</x:v>
      </x:c>
      <x:c r="B16" s="52" t="n">
        <x:f>Revenue!B16</x:f>
        <x:v>46539</x:v>
      </x:c>
      <x:c r="C16" s="58" t="n">
        <x:f>Revenue!I16</x:f>
        <x:v>2916290.52</x:v>
      </x:c>
      <x:c r="D16" s="58" t="n">
        <x:f>Revenue!C16</x:f>
        <x:v>77.22</x:v>
      </x:c>
      <x:c r="E16" s="58" t="n">
        <x:f>D16*Assumptions!$C$26</x:f>
        <x:v>27027</x:v>
      </x:c>
      <x:c r="F16" s="58" t="n">
        <x:f>D16*Assumptions!$C$27*Assumptions!$C$28</x:f>
        <x:v>37065.6</x:v>
      </x:c>
      <x:c r="G16" s="58" t="n">
        <x:f>C16*Assumptions!$C$29</x:f>
        <x:v>72907.263</x:v>
      </x:c>
      <x:c r="H16" s="58" t="n">
        <x:f>SUM(E16:G16)</x:f>
        <x:v>136999.863</x:v>
      </x:c>
      <x:c r="I16" s="58" t="n">
        <x:f>C16-H16</x:f>
        <x:v>2779290.657</x:v>
      </x:c>
      <x:c r="J16" s="58" t="n">
        <x:f>INDEX(Scenarios!$B$10:$D$10,1,MATCH(Assumptions!$C$4,Scenarios!$B$3:$D$3,0))</x:f>
        <x:v>80000</x:v>
      </x:c>
      <x:c r="K16" s="58" t="n">
        <x:f>Assumptions!$C$31*Assumptions!$C$32</x:f>
        <x:v>60000</x:v>
      </x:c>
      <x:c r="L16" s="58" t="n">
        <x:f>INDEX(Scenarios!$B$11:$D$11,1,MATCH(Assumptions!$C$4,Scenarios!$B$3:$D$3,0))</x:f>
        <x:v>250000</x:v>
      </x:c>
      <x:c r="M16" s="58" t="n">
        <x:f>Assumptions!$C$34</x:f>
        <x:v>50000</x:v>
      </x:c>
      <x:c r="N16" s="58" t="n">
        <x:f>SUM(J16:M16)</x:f>
        <x:v>440000</x:v>
      </x:c>
      <x:c r="O16" s="58" t="n">
        <x:f>I16-N16</x:f>
        <x:v>2339290.657</x:v>
      </x:c>
      <x:c r="P16" s="26"/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</x:row>
    <x:row r="17">
      <x:c r="A17" s="26" t="n">
        <x:f>Revenue!A17</x:f>
        <x:v>14</x:v>
      </x:c>
      <x:c r="B17" s="52" t="n">
        <x:f>Revenue!B17</x:f>
        <x:v>46569</x:v>
      </x:c>
      <x:c r="C17" s="58" t="n">
        <x:f>Revenue!I17</x:f>
        <x:v>3140620.56</x:v>
      </x:c>
      <x:c r="D17" s="58" t="n">
        <x:f>Revenue!C17</x:f>
        <x:v>83.16</x:v>
      </x:c>
      <x:c r="E17" s="58" t="n">
        <x:f>D17*Assumptions!$C$26</x:f>
        <x:v>29106</x:v>
      </x:c>
      <x:c r="F17" s="58" t="n">
        <x:f>D17*Assumptions!$C$27*Assumptions!$C$28</x:f>
        <x:v>39916.799999999996</x:v>
      </x:c>
      <x:c r="G17" s="58" t="n">
        <x:f>C17*Assumptions!$C$29</x:f>
        <x:v>78515.51400000001</x:v>
      </x:c>
      <x:c r="H17" s="58" t="n">
        <x:f>SUM(E17:G17)</x:f>
        <x:v>147538.314</x:v>
      </x:c>
      <x:c r="I17" s="58" t="n">
        <x:f>C17-H17</x:f>
        <x:v>2993082.2460000003</x:v>
      </x:c>
      <x:c r="J17" s="58" t="n">
        <x:f>INDEX(Scenarios!$B$10:$D$10,1,MATCH(Assumptions!$C$4,Scenarios!$B$3:$D$3,0))</x:f>
        <x:v>80000</x:v>
      </x:c>
      <x:c r="K17" s="58" t="n">
        <x:f>Assumptions!$C$31*Assumptions!$C$32</x:f>
        <x:v>60000</x:v>
      </x:c>
      <x:c r="L17" s="58" t="n">
        <x:f>INDEX(Scenarios!$B$11:$D$11,1,MATCH(Assumptions!$C$4,Scenarios!$B$3:$D$3,0))</x:f>
        <x:v>250000</x:v>
      </x:c>
      <x:c r="M17" s="58" t="n">
        <x:f>Assumptions!$C$34</x:f>
        <x:v>50000</x:v>
      </x:c>
      <x:c r="N17" s="58" t="n">
        <x:f>SUM(J17:M17)</x:f>
        <x:v>440000</x:v>
      </x:c>
      <x:c r="O17" s="58" t="n">
        <x:f>I17-N17</x:f>
        <x:v>2553082.2460000003</x:v>
      </x:c>
      <x:c r="P17" s="26"/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</x:row>
    <x:row r="18">
      <x:c r="A18" s="26" t="n">
        <x:f>Revenue!A18</x:f>
        <x:v>15</x:v>
      </x:c>
      <x:c r="B18" s="52" t="n">
        <x:f>Revenue!B18</x:f>
        <x:v>46600</x:v>
      </x:c>
      <x:c r="C18" s="58" t="n">
        <x:f>Revenue!I18</x:f>
        <x:v>3364950.5999999996</x:v>
      </x:c>
      <x:c r="D18" s="58" t="n">
        <x:f>Revenue!C18</x:f>
        <x:v>89.1</x:v>
      </x:c>
      <x:c r="E18" s="58" t="n">
        <x:f>D18*Assumptions!$C$26</x:f>
        <x:v>31184.999999999996</x:v>
      </x:c>
      <x:c r="F18" s="58" t="n">
        <x:f>D18*Assumptions!$C$27*Assumptions!$C$28</x:f>
        <x:v>42767.99999999999</x:v>
      </x:c>
      <x:c r="G18" s="58" t="n">
        <x:f>C18*Assumptions!$C$29</x:f>
        <x:v>84123.765</x:v>
      </x:c>
      <x:c r="H18" s="58" t="n">
        <x:f>SUM(E18:G18)</x:f>
        <x:v>158076.76499999998</x:v>
      </x:c>
      <x:c r="I18" s="58" t="n">
        <x:f>C18-H18</x:f>
        <x:v>3206873.8349999995</x:v>
      </x:c>
      <x:c r="J18" s="58" t="n">
        <x:f>INDEX(Scenarios!$B$10:$D$10,1,MATCH(Assumptions!$C$4,Scenarios!$B$3:$D$3,0))</x:f>
        <x:v>80000</x:v>
      </x:c>
      <x:c r="K18" s="58" t="n">
        <x:f>Assumptions!$C$31*Assumptions!$C$32</x:f>
        <x:v>60000</x:v>
      </x:c>
      <x:c r="L18" s="58" t="n">
        <x:f>INDEX(Scenarios!$B$11:$D$11,1,MATCH(Assumptions!$C$4,Scenarios!$B$3:$D$3,0))</x:f>
        <x:v>250000</x:v>
      </x:c>
      <x:c r="M18" s="58" t="n">
        <x:f>Assumptions!$C$34</x:f>
        <x:v>50000</x:v>
      </x:c>
      <x:c r="N18" s="58" t="n">
        <x:f>SUM(J18:M18)</x:f>
        <x:v>440000</x:v>
      </x:c>
      <x:c r="O18" s="58" t="n">
        <x:f>I18-N18</x:f>
        <x:v>2766873.8349999995</x:v>
      </x:c>
      <x:c r="P18" s="26"/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</x:row>
    <x:row r="19">
      <x:c r="A19" s="26" t="n">
        <x:f>Revenue!A19</x:f>
        <x:v>16</x:v>
      </x:c>
      <x:c r="B19" s="52" t="n">
        <x:f>Revenue!B19</x:f>
        <x:v>46631</x:v>
      </x:c>
      <x:c r="C19" s="58" t="n">
        <x:f>Revenue!I19</x:f>
        <x:v>3589280.6399999997</x:v>
      </x:c>
      <x:c r="D19" s="58" t="n">
        <x:f>Revenue!C19</x:f>
        <x:v>95.03999999999999</x:v>
      </x:c>
      <x:c r="E19" s="58" t="n">
        <x:f>D19*Assumptions!$C$26</x:f>
        <x:v>33264</x:v>
      </x:c>
      <x:c r="F19" s="58" t="n">
        <x:f>D19*Assumptions!$C$27*Assumptions!$C$28</x:f>
        <x:v>45619.2</x:v>
      </x:c>
      <x:c r="G19" s="58" t="n">
        <x:f>C19*Assumptions!$C$29</x:f>
        <x:v>89732.016</x:v>
      </x:c>
      <x:c r="H19" s="58" t="n">
        <x:f>SUM(E19:G19)</x:f>
        <x:v>168615.21600000001</x:v>
      </x:c>
      <x:c r="I19" s="58" t="n">
        <x:f>C19-H19</x:f>
        <x:v>3420665.4239999996</x:v>
      </x:c>
      <x:c r="J19" s="58" t="n">
        <x:f>INDEX(Scenarios!$B$10:$D$10,1,MATCH(Assumptions!$C$4,Scenarios!$B$3:$D$3,0))</x:f>
        <x:v>80000</x:v>
      </x:c>
      <x:c r="K19" s="58" t="n">
        <x:f>Assumptions!$C$31*Assumptions!$C$32</x:f>
        <x:v>60000</x:v>
      </x:c>
      <x:c r="L19" s="58" t="n">
        <x:f>INDEX(Scenarios!$B$11:$D$11,1,MATCH(Assumptions!$C$4,Scenarios!$B$3:$D$3,0))</x:f>
        <x:v>250000</x:v>
      </x:c>
      <x:c r="M19" s="58" t="n">
        <x:f>Assumptions!$C$34</x:f>
        <x:v>50000</x:v>
      </x:c>
      <x:c r="N19" s="58" t="n">
        <x:f>SUM(J19:M19)</x:f>
        <x:v>440000</x:v>
      </x:c>
      <x:c r="O19" s="58" t="n">
        <x:f>I19-N19</x:f>
        <x:v>2980665.4239999996</x:v>
      </x:c>
      <x:c r="P19" s="26"/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>
      <x:c r="A20" s="26" t="n">
        <x:f>Revenue!A20</x:f>
        <x:v>17</x:v>
      </x:c>
      <x:c r="B20" s="52" t="n">
        <x:f>Revenue!B20</x:f>
        <x:v>46661</x:v>
      </x:c>
      <x:c r="C20" s="58" t="n">
        <x:f>Revenue!I20</x:f>
        <x:v>3813610.6799999997</x:v>
      </x:c>
      <x:c r="D20" s="58" t="n">
        <x:f>Revenue!C20</x:f>
        <x:v>100.97999999999999</x:v>
      </x:c>
      <x:c r="E20" s="58" t="n">
        <x:f>D20*Assumptions!$C$26</x:f>
        <x:v>35343</x:v>
      </x:c>
      <x:c r="F20" s="58" t="n">
        <x:f>D20*Assumptions!$C$27*Assumptions!$C$28</x:f>
        <x:v>48470.399999999994</x:v>
      </x:c>
      <x:c r="G20" s="58" t="n">
        <x:f>C20*Assumptions!$C$29</x:f>
        <x:v>95340.26699999999</x:v>
      </x:c>
      <x:c r="H20" s="58" t="n">
        <x:f>SUM(E20:G20)</x:f>
        <x:v>179153.667</x:v>
      </x:c>
      <x:c r="I20" s="58" t="n">
        <x:f>C20-H20</x:f>
        <x:v>3634457.013</x:v>
      </x:c>
      <x:c r="J20" s="58" t="n">
        <x:f>INDEX(Scenarios!$B$10:$D$10,1,MATCH(Assumptions!$C$4,Scenarios!$B$3:$D$3,0))</x:f>
        <x:v>80000</x:v>
      </x:c>
      <x:c r="K20" s="58" t="n">
        <x:f>Assumptions!$C$31*Assumptions!$C$32</x:f>
        <x:v>60000</x:v>
      </x:c>
      <x:c r="L20" s="58" t="n">
        <x:f>INDEX(Scenarios!$B$11:$D$11,1,MATCH(Assumptions!$C$4,Scenarios!$B$3:$D$3,0))</x:f>
        <x:v>250000</x:v>
      </x:c>
      <x:c r="M20" s="58" t="n">
        <x:f>Assumptions!$C$34</x:f>
        <x:v>50000</x:v>
      </x:c>
      <x:c r="N20" s="58" t="n">
        <x:f>SUM(J20:M20)</x:f>
        <x:v>440000</x:v>
      </x:c>
      <x:c r="O20" s="58" t="n">
        <x:f>I20-N20</x:f>
        <x:v>3194457.013</x:v>
      </x:c>
      <x:c r="P20" s="26"/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>
      <x:c r="A21" s="26" t="n">
        <x:f>Revenue!A21</x:f>
        <x:v>18</x:v>
      </x:c>
      <x:c r="B21" s="52" t="n">
        <x:f>Revenue!B21</x:f>
        <x:v>46692</x:v>
      </x:c>
      <x:c r="C21" s="58" t="n">
        <x:f>Revenue!I21</x:f>
        <x:v>4037940.7199999997</x:v>
      </x:c>
      <x:c r="D21" s="58" t="n">
        <x:f>Revenue!C21</x:f>
        <x:v>106.91999999999999</x:v>
      </x:c>
      <x:c r="E21" s="58" t="n">
        <x:f>D21*Assumptions!$C$26</x:f>
        <x:v>37421.99999999999</x:v>
      </x:c>
      <x:c r="F21" s="58" t="n">
        <x:f>D21*Assumptions!$C$27*Assumptions!$C$28</x:f>
        <x:v>51321.59999999999</x:v>
      </x:c>
      <x:c r="G21" s="58" t="n">
        <x:f>C21*Assumptions!$C$29</x:f>
        <x:v>100948.518</x:v>
      </x:c>
      <x:c r="H21" s="58" t="n">
        <x:f>SUM(E21:G21)</x:f>
        <x:v>189692.11799999996</x:v>
      </x:c>
      <x:c r="I21" s="58" t="n">
        <x:f>C21-H21</x:f>
        <x:v>3848248.602</x:v>
      </x:c>
      <x:c r="J21" s="58" t="n">
        <x:f>INDEX(Scenarios!$B$10:$D$10,1,MATCH(Assumptions!$C$4,Scenarios!$B$3:$D$3,0))</x:f>
        <x:v>80000</x:v>
      </x:c>
      <x:c r="K21" s="58" t="n">
        <x:f>Assumptions!$C$31*Assumptions!$C$32</x:f>
        <x:v>60000</x:v>
      </x:c>
      <x:c r="L21" s="58" t="n">
        <x:f>INDEX(Scenarios!$B$11:$D$11,1,MATCH(Assumptions!$C$4,Scenarios!$B$3:$D$3,0))</x:f>
        <x:v>250000</x:v>
      </x:c>
      <x:c r="M21" s="58" t="n">
        <x:f>Assumptions!$C$34</x:f>
        <x:v>50000</x:v>
      </x:c>
      <x:c r="N21" s="58" t="n">
        <x:f>SUM(J21:M21)</x:f>
        <x:v>440000</x:v>
      </x:c>
      <x:c r="O21" s="58" t="n">
        <x:f>I21-N21</x:f>
        <x:v>3408248.602</x:v>
      </x:c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>
      <x:c r="A22" s="26" t="n">
        <x:f>Revenue!A22</x:f>
        <x:v>19</x:v>
      </x:c>
      <x:c r="B22" s="52" t="n">
        <x:f>Revenue!B22</x:f>
        <x:v>46722</x:v>
      </x:c>
      <x:c r="C22" s="58" t="n">
        <x:f>Revenue!I22</x:f>
        <x:v>4262270.76</x:v>
      </x:c>
      <x:c r="D22" s="58" t="n">
        <x:f>Revenue!C22</x:f>
        <x:v>112.85999999999999</x:v>
      </x:c>
      <x:c r="E22" s="58" t="n">
        <x:f>D22*Assumptions!$C$26</x:f>
        <x:v>39500.99999999999</x:v>
      </x:c>
      <x:c r="F22" s="58" t="n">
        <x:f>D22*Assumptions!$C$27*Assumptions!$C$28</x:f>
        <x:v>54172.799999999996</x:v>
      </x:c>
      <x:c r="G22" s="58" t="n">
        <x:f>C22*Assumptions!$C$29</x:f>
        <x:v>106556.769</x:v>
      </x:c>
      <x:c r="H22" s="58" t="n">
        <x:f>SUM(E22:G22)</x:f>
        <x:v>200230.569</x:v>
      </x:c>
      <x:c r="I22" s="58" t="n">
        <x:f>C22-H22</x:f>
        <x:v>4062040.1909999996</x:v>
      </x:c>
      <x:c r="J22" s="58" t="n">
        <x:f>INDEX(Scenarios!$B$10:$D$10,1,MATCH(Assumptions!$C$4,Scenarios!$B$3:$D$3,0))</x:f>
        <x:v>80000</x:v>
      </x:c>
      <x:c r="K22" s="58" t="n">
        <x:f>Assumptions!$C$31*Assumptions!$C$32</x:f>
        <x:v>60000</x:v>
      </x:c>
      <x:c r="L22" s="58" t="n">
        <x:f>INDEX(Scenarios!$B$11:$D$11,1,MATCH(Assumptions!$C$4,Scenarios!$B$3:$D$3,0))</x:f>
        <x:v>250000</x:v>
      </x:c>
      <x:c r="M22" s="58" t="n">
        <x:f>Assumptions!$C$34</x:f>
        <x:v>50000</x:v>
      </x:c>
      <x:c r="N22" s="58" t="n">
        <x:f>SUM(J22:M22)</x:f>
        <x:v>440000</x:v>
      </x:c>
      <x:c r="O22" s="58" t="n">
        <x:f>I22-N22</x:f>
        <x:v>3622040.1909999996</x:v>
      </x:c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>
      <x:c r="A23" s="26" t="n">
        <x:f>Revenue!A23</x:f>
        <x:v>20</x:v>
      </x:c>
      <x:c r="B23" s="52" t="n">
        <x:f>Revenue!B23</x:f>
        <x:v>46753</x:v>
      </x:c>
      <x:c r="C23" s="58" t="n">
        <x:f>Revenue!I23</x:f>
        <x:v>4486600.8</x:v>
      </x:c>
      <x:c r="D23" s="58" t="n">
        <x:f>Revenue!C23</x:f>
        <x:v>118.79999999999998</x:v>
      </x:c>
      <x:c r="E23" s="58" t="n">
        <x:f>D23*Assumptions!$C$26</x:f>
        <x:v>41579.99999999999</x:v>
      </x:c>
      <x:c r="F23" s="58" t="n">
        <x:f>D23*Assumptions!$C$27*Assumptions!$C$28</x:f>
        <x:v>57023.99999999999</x:v>
      </x:c>
      <x:c r="G23" s="58" t="n">
        <x:f>C23*Assumptions!$C$29</x:f>
        <x:v>112165.02</x:v>
      </x:c>
      <x:c r="H23" s="58" t="n">
        <x:f>SUM(E23:G23)</x:f>
        <x:v>210769.02</x:v>
      </x:c>
      <x:c r="I23" s="58" t="n">
        <x:f>C23-H23</x:f>
        <x:v>4275831.78</x:v>
      </x:c>
      <x:c r="J23" s="58" t="n">
        <x:f>INDEX(Scenarios!$B$10:$D$10,1,MATCH(Assumptions!$C$4,Scenarios!$B$3:$D$3,0))</x:f>
        <x:v>80000</x:v>
      </x:c>
      <x:c r="K23" s="58" t="n">
        <x:f>Assumptions!$C$31*Assumptions!$C$32</x:f>
        <x:v>60000</x:v>
      </x:c>
      <x:c r="L23" s="58" t="n">
        <x:f>INDEX(Scenarios!$B$11:$D$11,1,MATCH(Assumptions!$C$4,Scenarios!$B$3:$D$3,0))</x:f>
        <x:v>250000</x:v>
      </x:c>
      <x:c r="M23" s="58" t="n">
        <x:f>Assumptions!$C$34</x:f>
        <x:v>50000</x:v>
      </x:c>
      <x:c r="N23" s="58" t="n">
        <x:f>SUM(J23:M23)</x:f>
        <x:v>440000</x:v>
      </x:c>
      <x:c r="O23" s="58" t="n">
        <x:f>I23-N23</x:f>
        <x:v>3835831.7800000003</x:v>
      </x:c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>
      <x:c r="A24" s="26" t="n">
        <x:f>Revenue!A24</x:f>
        <x:v>21</x:v>
      </x:c>
      <x:c r="B24" s="52" t="n">
        <x:f>Revenue!B24</x:f>
        <x:v>46784</x:v>
      </x:c>
      <x:c r="C24" s="58" t="n">
        <x:f>Revenue!I24</x:f>
        <x:v>4710930.839999999</x:v>
      </x:c>
      <x:c r="D24" s="58" t="n">
        <x:f>Revenue!C24</x:f>
        <x:v>124.73999999999998</x:v>
      </x:c>
      <x:c r="E24" s="58" t="n">
        <x:f>D24*Assumptions!$C$26</x:f>
        <x:v>43658.99999999999</x:v>
      </x:c>
      <x:c r="F24" s="58" t="n">
        <x:f>D24*Assumptions!$C$27*Assumptions!$C$28</x:f>
        <x:v>59875.19999999998</x:v>
      </x:c>
      <x:c r="G24" s="58" t="n">
        <x:f>C24*Assumptions!$C$29</x:f>
        <x:v>117773.27099999998</x:v>
      </x:c>
      <x:c r="H24" s="58" t="n">
        <x:f>SUM(E24:G24)</x:f>
        <x:v>221307.47099999996</x:v>
      </x:c>
      <x:c r="I24" s="58" t="n">
        <x:f>C24-H24</x:f>
        <x:v>4489623.368999999</x:v>
      </x:c>
      <x:c r="J24" s="58" t="n">
        <x:f>INDEX(Scenarios!$B$10:$D$10,1,MATCH(Assumptions!$C$4,Scenarios!$B$3:$D$3,0))</x:f>
        <x:v>80000</x:v>
      </x:c>
      <x:c r="K24" s="58" t="n">
        <x:f>Assumptions!$C$31*Assumptions!$C$32</x:f>
        <x:v>60000</x:v>
      </x:c>
      <x:c r="L24" s="58" t="n">
        <x:f>INDEX(Scenarios!$B$11:$D$11,1,MATCH(Assumptions!$C$4,Scenarios!$B$3:$D$3,0))</x:f>
        <x:v>250000</x:v>
      </x:c>
      <x:c r="M24" s="58" t="n">
        <x:f>Assumptions!$C$34</x:f>
        <x:v>50000</x:v>
      </x:c>
      <x:c r="N24" s="58" t="n">
        <x:f>SUM(J24:M24)</x:f>
        <x:v>440000</x:v>
      </x:c>
      <x:c r="O24" s="58" t="n">
        <x:f>I24-N24</x:f>
        <x:v>4049623.368999999</x:v>
      </x:c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>
      <x:c r="A25" s="26" t="n">
        <x:f>Revenue!A25</x:f>
        <x:v>22</x:v>
      </x:c>
      <x:c r="B25" s="52" t="n">
        <x:f>Revenue!B25</x:f>
        <x:v>46813</x:v>
      </x:c>
      <x:c r="C25" s="58" t="n">
        <x:f>Revenue!I25</x:f>
        <x:v>4935260.879999999</x:v>
      </x:c>
      <x:c r="D25" s="58" t="n">
        <x:f>Revenue!C25</x:f>
        <x:v>130.67999999999998</x:v>
      </x:c>
      <x:c r="E25" s="58" t="n">
        <x:f>D25*Assumptions!$C$26</x:f>
        <x:v>45737.99999999999</x:v>
      </x:c>
      <x:c r="F25" s="58" t="n">
        <x:f>D25*Assumptions!$C$27*Assumptions!$C$28</x:f>
        <x:v>62726.39999999999</x:v>
      </x:c>
      <x:c r="G25" s="58" t="n">
        <x:f>C25*Assumptions!$C$29</x:f>
        <x:v>123381.52199999998</x:v>
      </x:c>
      <x:c r="H25" s="58" t="n">
        <x:f>SUM(E25:G25)</x:f>
        <x:v>231845.92199999996</x:v>
      </x:c>
      <x:c r="I25" s="58" t="n">
        <x:f>C25-H25</x:f>
        <x:v>4703414.957999999</x:v>
      </x:c>
      <x:c r="J25" s="58" t="n">
        <x:f>INDEX(Scenarios!$B$10:$D$10,1,MATCH(Assumptions!$C$4,Scenarios!$B$3:$D$3,0))</x:f>
        <x:v>80000</x:v>
      </x:c>
      <x:c r="K25" s="58" t="n">
        <x:f>Assumptions!$C$31*Assumptions!$C$32</x:f>
        <x:v>60000</x:v>
      </x:c>
      <x:c r="L25" s="58" t="n">
        <x:f>INDEX(Scenarios!$B$11:$D$11,1,MATCH(Assumptions!$C$4,Scenarios!$B$3:$D$3,0))</x:f>
        <x:v>250000</x:v>
      </x:c>
      <x:c r="M25" s="58" t="n">
        <x:f>Assumptions!$C$34</x:f>
        <x:v>50000</x:v>
      </x:c>
      <x:c r="N25" s="58" t="n">
        <x:f>SUM(J25:M25)</x:f>
        <x:v>440000</x:v>
      </x:c>
      <x:c r="O25" s="58" t="n">
        <x:f>I25-N25</x:f>
        <x:v>4263414.957999999</x:v>
      </x:c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>
      <x:c r="A26" s="26" t="n">
        <x:f>Revenue!A26</x:f>
        <x:v>23</x:v>
      </x:c>
      <x:c r="B26" s="52" t="n">
        <x:f>Revenue!B26</x:f>
        <x:v>46844</x:v>
      </x:c>
      <x:c r="C26" s="58" t="n">
        <x:f>Revenue!I26</x:f>
        <x:v>5159590.919999999</x:v>
      </x:c>
      <x:c r="D26" s="58" t="n">
        <x:f>Revenue!C26</x:f>
        <x:v>136.61999999999998</x:v>
      </x:c>
      <x:c r="E26" s="58" t="n">
        <x:f>D26*Assumptions!$C$26</x:f>
        <x:v>47816.99999999999</x:v>
      </x:c>
      <x:c r="F26" s="58" t="n">
        <x:f>D26*Assumptions!$C$27*Assumptions!$C$28</x:f>
        <x:v>65577.59999999998</x:v>
      </x:c>
      <x:c r="G26" s="58" t="n">
        <x:f>C26*Assumptions!$C$29</x:f>
        <x:v>128989.77299999999</x:v>
      </x:c>
      <x:c r="H26" s="58" t="n">
        <x:f>SUM(E26:G26)</x:f>
        <x:v>242384.37299999996</x:v>
      </x:c>
      <x:c r="I26" s="58" t="n">
        <x:f>C26-H26</x:f>
        <x:v>4917206.546999999</x:v>
      </x:c>
      <x:c r="J26" s="58" t="n">
        <x:f>INDEX(Scenarios!$B$10:$D$10,1,MATCH(Assumptions!$C$4,Scenarios!$B$3:$D$3,0))</x:f>
        <x:v>80000</x:v>
      </x:c>
      <x:c r="K26" s="58" t="n">
        <x:f>Assumptions!$C$31*Assumptions!$C$32</x:f>
        <x:v>60000</x:v>
      </x:c>
      <x:c r="L26" s="58" t="n">
        <x:f>INDEX(Scenarios!$B$11:$D$11,1,MATCH(Assumptions!$C$4,Scenarios!$B$3:$D$3,0))</x:f>
        <x:v>250000</x:v>
      </x:c>
      <x:c r="M26" s="58" t="n">
        <x:f>Assumptions!$C$34</x:f>
        <x:v>50000</x:v>
      </x:c>
      <x:c r="N26" s="58" t="n">
        <x:f>SUM(J26:M26)</x:f>
        <x:v>440000</x:v>
      </x:c>
      <x:c r="O26" s="58" t="n">
        <x:f>I26-N26</x:f>
        <x:v>4477206.546999999</x:v>
      </x:c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>
      <x:c r="A27" s="26" t="n">
        <x:f>Revenue!A27</x:f>
        <x:v>24</x:v>
      </x:c>
      <x:c r="B27" s="52" t="n">
        <x:f>Revenue!B27</x:f>
        <x:v>46874</x:v>
      </x:c>
      <x:c r="C27" s="58" t="n">
        <x:f>Revenue!I27</x:f>
        <x:v>5383920.959999999</x:v>
      </x:c>
      <x:c r="D27" s="58" t="n">
        <x:f>Revenue!C27</x:f>
        <x:v>142.55999999999997</x:v>
      </x:c>
      <x:c r="E27" s="58" t="n">
        <x:f>D27*Assumptions!$C$26</x:f>
        <x:v>49895.99999999999</x:v>
      </x:c>
      <x:c r="F27" s="58" t="n">
        <x:f>D27*Assumptions!$C$27*Assumptions!$C$28</x:f>
        <x:v>68428.79999999999</x:v>
      </x:c>
      <x:c r="G27" s="58" t="n">
        <x:f>C27*Assumptions!$C$29</x:f>
        <x:v>134598.02399999998</x:v>
      </x:c>
      <x:c r="H27" s="58" t="n">
        <x:f>SUM(E27:G27)</x:f>
        <x:v>252922.82399999996</x:v>
      </x:c>
      <x:c r="I27" s="58" t="n">
        <x:f>C27-H27</x:f>
        <x:v>5130998.135999999</x:v>
      </x:c>
      <x:c r="J27" s="58" t="n">
        <x:f>INDEX(Scenarios!$B$10:$D$10,1,MATCH(Assumptions!$C$4,Scenarios!$B$3:$D$3,0))</x:f>
        <x:v>80000</x:v>
      </x:c>
      <x:c r="K27" s="58" t="n">
        <x:f>Assumptions!$C$31*Assumptions!$C$32</x:f>
        <x:v>60000</x:v>
      </x:c>
      <x:c r="L27" s="58" t="n">
        <x:f>INDEX(Scenarios!$B$11:$D$11,1,MATCH(Assumptions!$C$4,Scenarios!$B$3:$D$3,0))</x:f>
        <x:v>250000</x:v>
      </x:c>
      <x:c r="M27" s="58" t="n">
        <x:f>Assumptions!$C$34</x:f>
        <x:v>50000</x:v>
      </x:c>
      <x:c r="N27" s="58" t="n">
        <x:f>SUM(J27:M27)</x:f>
        <x:v>440000</x:v>
      </x:c>
      <x:c r="O27" s="58" t="n">
        <x:f>I27-N27</x:f>
        <x:v>4690998.135999999</x:v>
      </x:c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>
      <x:c r="A28" s="26"/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>
      <x:c r="A29" s="26"/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>
      <x:c r="A30" s="26"/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>
      <x:c r="A31" s="26"/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>
      <x:c r="A32" s="26"/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>
      <x:c r="A33" s="26"/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</x:row>
    <x:row r="34">
      <x:c r="A34" s="26"/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</x:row>
    <x:row r="35">
      <x:c r="A35" s="26"/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</x:row>
    <x:row r="36">
      <x:c r="A36" s="26"/>
      <x:c r="B36" s="26"/>
      <x:c r="C36" s="26"/>
      <x:c r="D36" s="26"/>
      <x:c r="E36" s="26"/>
      <x:c r="F36" s="26"/>
      <x:c r="G36" s="26"/>
      <x:c r="H36" s="26"/>
      <x:c r="I36" s="26"/>
      <x:c r="J36" s="26"/>
      <x:c r="K36" s="26"/>
      <x:c r="L36" s="26"/>
      <x:c r="M36" s="26"/>
      <x:c r="N36" s="26"/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</x:row>
    <x:row r="37">
      <x:c r="A37" s="26"/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  <x:c r="L37" s="26"/>
      <x:c r="M37" s="26"/>
      <x:c r="N37" s="26"/>
      <x:c r="O37" s="26"/>
      <x:c r="P37" s="26"/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</x:row>
    <x:row r="38">
      <x:c r="A38" s="26"/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</x:row>
    <x:row r="39">
      <x:c r="A39" s="26"/>
      <x:c r="B39" s="26"/>
      <x:c r="C39" s="26"/>
      <x:c r="D39" s="26"/>
      <x:c r="E39" s="26"/>
      <x:c r="F39" s="26"/>
      <x:c r="G39" s="26"/>
      <x:c r="H39" s="26"/>
      <x:c r="I39" s="26"/>
      <x:c r="J39" s="26"/>
      <x:c r="K39" s="26"/>
      <x:c r="L39" s="26"/>
      <x:c r="M39" s="26"/>
      <x:c r="N39" s="26"/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</x:row>
    <x:row r="40">
      <x:c r="A40" s="26"/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  <x:c r="L40" s="26"/>
      <x:c r="M40" s="26"/>
      <x:c r="N40" s="26"/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</x:row>
    <x:row r="41">
      <x:c r="A41" s="26"/>
      <x:c r="B41" s="26"/>
      <x:c r="C41" s="26"/>
      <x:c r="D41" s="26"/>
      <x:c r="E41" s="26"/>
      <x:c r="F41" s="26"/>
      <x:c r="G41" s="26"/>
      <x:c r="H41" s="26"/>
      <x:c r="I41" s="26"/>
      <x:c r="J41" s="26"/>
      <x:c r="K41" s="26"/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</x:row>
    <x:row r="42">
      <x:c r="A42" s="26"/>
      <x:c r="B42" s="26"/>
      <x:c r="C42" s="26"/>
      <x:c r="D42" s="26"/>
      <x:c r="E42" s="26"/>
      <x:c r="F42" s="26"/>
      <x:c r="G42" s="26"/>
      <x:c r="H42" s="26"/>
      <x:c r="I42" s="26"/>
      <x:c r="J42" s="26"/>
      <x:c r="K42" s="26"/>
      <x:c r="L42" s="26"/>
      <x:c r="M42" s="26"/>
      <x:c r="N42" s="26"/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</x:row>
    <x:row r="43">
      <x:c r="A43" s="26"/>
      <x:c r="B43" s="26"/>
      <x:c r="C43" s="26"/>
      <x:c r="D43" s="26"/>
      <x:c r="E43" s="26"/>
      <x:c r="F43" s="26"/>
      <x:c r="G43" s="26"/>
      <x:c r="H43" s="26"/>
      <x:c r="I43" s="26"/>
      <x:c r="J43" s="26"/>
      <x:c r="K43" s="26"/>
      <x:c r="L43" s="26"/>
      <x:c r="M43" s="26"/>
      <x:c r="N43" s="26"/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</x:row>
    <x:row r="44">
      <x:c r="A44" s="26"/>
      <x:c r="B44" s="26"/>
      <x:c r="C44" s="26"/>
      <x:c r="D44" s="26"/>
      <x:c r="E44" s="26"/>
      <x:c r="F44" s="26"/>
      <x:c r="G44" s="26"/>
      <x:c r="H44" s="26"/>
      <x:c r="I44" s="26"/>
      <x:c r="J44" s="26"/>
      <x:c r="K44" s="26"/>
      <x:c r="L44" s="26"/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</x:row>
    <x:row r="45">
      <x:c r="A45" s="26"/>
      <x:c r="B45" s="26"/>
      <x:c r="C45" s="26"/>
      <x:c r="D45" s="26"/>
      <x:c r="E45" s="26"/>
      <x:c r="F45" s="26"/>
      <x:c r="G45" s="26"/>
      <x:c r="H45" s="26"/>
      <x:c r="I45" s="26"/>
      <x:c r="J45" s="26"/>
      <x:c r="K45" s="26"/>
      <x:c r="L45" s="26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</x:row>
    <x:row r="46">
      <x:c r="A46" s="26"/>
      <x:c r="B46" s="26"/>
      <x:c r="C46" s="26"/>
      <x:c r="D46" s="26"/>
      <x:c r="E46" s="26"/>
      <x:c r="F46" s="26"/>
      <x:c r="G46" s="26"/>
      <x:c r="H46" s="26"/>
      <x:c r="I46" s="26"/>
      <x:c r="J46" s="26"/>
      <x:c r="K46" s="26"/>
      <x:c r="L46" s="26"/>
      <x:c r="M46" s="26"/>
      <x:c r="N46" s="26"/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</x:row>
    <x:row r="47">
      <x:c r="A47" s="26"/>
      <x:c r="B47" s="26"/>
      <x:c r="C47" s="26"/>
      <x:c r="D47" s="26"/>
      <x:c r="E47" s="26"/>
      <x:c r="F47" s="26"/>
      <x:c r="G47" s="26"/>
      <x:c r="H47" s="26"/>
      <x:c r="I47" s="26"/>
      <x:c r="J47" s="26"/>
      <x:c r="K47" s="26"/>
      <x:c r="L47" s="26"/>
      <x:c r="M47" s="26"/>
      <x:c r="N47" s="26"/>
      <x:c r="O47" s="26"/>
      <x:c r="P47" s="26"/>
      <x:c r="Q47" s="26"/>
      <x:c r="R47" s="26"/>
      <x:c r="S47" s="26"/>
      <x:c r="T47" s="26"/>
      <x:c r="U47" s="26"/>
      <x:c r="V47" s="26"/>
      <x:c r="W47" s="26"/>
      <x:c r="X47" s="26"/>
      <x:c r="Y47" s="26"/>
      <x:c r="Z47" s="26"/>
    </x:row>
    <x:row r="48">
      <x:c r="A48" s="26"/>
      <x:c r="B48" s="26"/>
      <x:c r="C48" s="26"/>
      <x:c r="D48" s="26"/>
      <x:c r="E48" s="26"/>
      <x:c r="F48" s="26"/>
      <x:c r="G48" s="26"/>
      <x:c r="H48" s="26"/>
      <x:c r="I48" s="26"/>
      <x:c r="J48" s="26"/>
      <x:c r="K48" s="26"/>
      <x:c r="L48" s="26"/>
      <x:c r="M48" s="26"/>
      <x:c r="N48" s="26"/>
      <x:c r="O48" s="26"/>
      <x:c r="P48" s="26"/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</x:row>
    <x:row r="49">
      <x:c r="A49" s="26"/>
      <x:c r="B49" s="26"/>
      <x:c r="C49" s="26"/>
      <x:c r="D49" s="26"/>
      <x:c r="E49" s="26"/>
      <x:c r="F49" s="26"/>
      <x:c r="G49" s="26"/>
      <x:c r="H49" s="26"/>
      <x:c r="I49" s="26"/>
      <x:c r="J49" s="26"/>
      <x:c r="K49" s="26"/>
      <x:c r="L49" s="26"/>
      <x:c r="M49" s="26"/>
      <x:c r="N49" s="26"/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</x:row>
    <x:row r="50">
      <x:c r="A50" s="26"/>
      <x:c r="B50" s="26"/>
      <x:c r="C50" s="26"/>
      <x:c r="D50" s="26"/>
      <x:c r="E50" s="26"/>
      <x:c r="F50" s="26"/>
      <x:c r="G50" s="26"/>
      <x:c r="H50" s="26"/>
      <x:c r="I50" s="26"/>
      <x:c r="J50" s="26"/>
      <x:c r="K50" s="26"/>
      <x:c r="L50" s="26"/>
      <x:c r="M50" s="26"/>
      <x:c r="N50" s="26"/>
      <x:c r="O50" s="26"/>
      <x:c r="P50" s="26"/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</x:row>
    <x:row r="51">
      <x:c r="A51" s="26"/>
      <x:c r="B51" s="26"/>
      <x:c r="C51" s="26"/>
      <x:c r="D51" s="26"/>
      <x:c r="E51" s="26"/>
      <x:c r="F51" s="26"/>
      <x:c r="G51" s="26"/>
      <x:c r="H51" s="26"/>
      <x:c r="I51" s="26"/>
      <x:c r="J51" s="26"/>
      <x:c r="K51" s="26"/>
      <x:c r="L51" s="26"/>
      <x:c r="M51" s="26"/>
      <x:c r="N51" s="26"/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</x:row>
    <x:row r="52">
      <x:c r="A52" s="26"/>
      <x:c r="B52" s="26"/>
      <x:c r="C52" s="26"/>
      <x:c r="D52" s="26"/>
      <x:c r="E52" s="26"/>
      <x:c r="F52" s="26"/>
      <x:c r="G52" s="26"/>
      <x:c r="H52" s="26"/>
      <x:c r="I52" s="26"/>
      <x:c r="J52" s="26"/>
      <x:c r="K52" s="26"/>
      <x:c r="L52" s="26"/>
      <x:c r="M52" s="26"/>
      <x:c r="N52" s="26"/>
      <x:c r="O52" s="26"/>
      <x:c r="P52" s="26"/>
      <x:c r="Q52" s="26"/>
      <x:c r="R52" s="26"/>
      <x:c r="S52" s="26"/>
      <x:c r="T52" s="26"/>
      <x:c r="U52" s="26"/>
      <x:c r="V52" s="26"/>
      <x:c r="W52" s="26"/>
      <x:c r="X52" s="26"/>
      <x:c r="Y52" s="26"/>
      <x:c r="Z52" s="26"/>
    </x:row>
    <x:row r="53">
      <x:c r="A53" s="26"/>
      <x:c r="B53" s="26"/>
      <x:c r="C53" s="26"/>
      <x:c r="D53" s="26"/>
      <x:c r="E53" s="26"/>
      <x:c r="F53" s="26"/>
      <x:c r="G53" s="26"/>
      <x:c r="H53" s="26"/>
      <x:c r="I53" s="26"/>
      <x:c r="J53" s="26"/>
      <x:c r="K53" s="26"/>
      <x:c r="L53" s="26"/>
      <x:c r="M53" s="26"/>
      <x:c r="N53" s="26"/>
      <x:c r="O53" s="26"/>
      <x:c r="P53" s="26"/>
      <x:c r="Q53" s="26"/>
      <x:c r="R53" s="26"/>
      <x:c r="S53" s="26"/>
      <x:c r="T53" s="26"/>
      <x:c r="U53" s="26"/>
      <x:c r="V53" s="26"/>
      <x:c r="W53" s="26"/>
      <x:c r="X53" s="26"/>
      <x:c r="Y53" s="26"/>
      <x:c r="Z53" s="26"/>
    </x:row>
    <x:row r="54">
      <x:c r="A54" s="26"/>
      <x:c r="B54" s="26"/>
      <x:c r="C54" s="26"/>
      <x:c r="D54" s="26"/>
      <x:c r="E54" s="26"/>
      <x:c r="F54" s="26"/>
      <x:c r="G54" s="26"/>
      <x:c r="H54" s="26"/>
      <x:c r="I54" s="26"/>
      <x:c r="J54" s="26"/>
      <x:c r="K54" s="26"/>
      <x:c r="L54" s="26"/>
      <x:c r="M54" s="26"/>
      <x:c r="N54" s="26"/>
      <x:c r="O54" s="26"/>
      <x:c r="P54" s="26"/>
      <x:c r="Q54" s="26"/>
      <x:c r="R54" s="26"/>
      <x:c r="S54" s="26"/>
      <x:c r="T54" s="26"/>
      <x:c r="U54" s="26"/>
      <x:c r="V54" s="26"/>
      <x:c r="W54" s="26"/>
      <x:c r="X54" s="26"/>
      <x:c r="Y54" s="26"/>
      <x:c r="Z54" s="26"/>
    </x:row>
    <x:row r="55">
      <x:c r="A55" s="26"/>
      <x:c r="B55" s="26"/>
      <x:c r="C55" s="26"/>
      <x:c r="D55" s="26"/>
      <x:c r="E55" s="26"/>
      <x:c r="F55" s="26"/>
      <x:c r="G55" s="26"/>
      <x:c r="H55" s="26"/>
      <x:c r="I55" s="26"/>
      <x:c r="J55" s="26"/>
      <x:c r="K55" s="26"/>
      <x:c r="L55" s="26"/>
      <x:c r="M55" s="26"/>
      <x:c r="N55" s="26"/>
      <x:c r="O55" s="26"/>
      <x:c r="P55" s="26"/>
      <x:c r="Q55" s="26"/>
      <x:c r="R55" s="26"/>
      <x:c r="S55" s="26"/>
      <x:c r="T55" s="26"/>
      <x:c r="U55" s="26"/>
      <x:c r="V55" s="26"/>
      <x:c r="W55" s="26"/>
      <x:c r="X55" s="26"/>
      <x:c r="Y55" s="26"/>
      <x:c r="Z55" s="26"/>
    </x:row>
    <x:row r="56">
      <x:c r="A56" s="26"/>
      <x:c r="B56" s="26"/>
      <x:c r="C56" s="26"/>
      <x:c r="D56" s="26"/>
      <x:c r="E56" s="26"/>
      <x:c r="F56" s="26"/>
      <x:c r="G56" s="26"/>
      <x:c r="H56" s="26"/>
      <x:c r="I56" s="26"/>
      <x:c r="J56" s="26"/>
      <x:c r="K56" s="26"/>
      <x:c r="L56" s="26"/>
      <x:c r="M56" s="26"/>
      <x:c r="N56" s="26"/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</x:row>
    <x:row r="57">
      <x:c r="A57" s="26"/>
      <x:c r="B57" s="26"/>
      <x:c r="C57" s="26"/>
      <x:c r="D57" s="26"/>
      <x:c r="E57" s="26"/>
      <x:c r="F57" s="26"/>
      <x:c r="G57" s="26"/>
      <x:c r="H57" s="26"/>
      <x:c r="I57" s="26"/>
      <x:c r="J57" s="26"/>
      <x:c r="K57" s="26"/>
      <x:c r="L57" s="26"/>
      <x:c r="M57" s="26"/>
      <x:c r="N57" s="26"/>
      <x:c r="O57" s="26"/>
      <x:c r="P57" s="26"/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</x:row>
    <x:row r="58">
      <x:c r="A58" s="26"/>
      <x:c r="B58" s="26"/>
      <x:c r="C58" s="26"/>
      <x:c r="D58" s="26"/>
      <x:c r="E58" s="26"/>
      <x:c r="F58" s="26"/>
      <x:c r="G58" s="26"/>
      <x:c r="H58" s="26"/>
      <x:c r="I58" s="26"/>
      <x:c r="J58" s="26"/>
      <x:c r="K58" s="26"/>
      <x:c r="L58" s="26"/>
      <x:c r="M58" s="26"/>
      <x:c r="N58" s="26"/>
      <x:c r="O58" s="26"/>
      <x:c r="P58" s="26"/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</x:row>
    <x:row r="59">
      <x:c r="A59" s="26"/>
      <x:c r="B59" s="26"/>
      <x:c r="C59" s="26"/>
      <x:c r="D59" s="26"/>
      <x:c r="E59" s="26"/>
      <x:c r="F59" s="26"/>
      <x:c r="G59" s="26"/>
      <x:c r="H59" s="26"/>
      <x:c r="I59" s="26"/>
      <x:c r="J59" s="26"/>
      <x:c r="K59" s="26"/>
      <x:c r="L59" s="26"/>
      <x:c r="M59" s="26"/>
      <x:c r="N59" s="26"/>
      <x:c r="O59" s="26"/>
      <x:c r="P59" s="26"/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</x:row>
    <x:row r="60">
      <x:c r="A60" s="26"/>
      <x:c r="B60" s="26"/>
      <x:c r="C60" s="26"/>
      <x:c r="D60" s="26"/>
      <x:c r="E60" s="26"/>
      <x:c r="F60" s="26"/>
      <x:c r="G60" s="26"/>
      <x:c r="H60" s="26"/>
      <x:c r="I60" s="26"/>
      <x:c r="J60" s="26"/>
      <x:c r="K60" s="26"/>
      <x:c r="L60" s="26"/>
      <x:c r="M60" s="26"/>
      <x:c r="N60" s="26"/>
      <x:c r="O60" s="26"/>
      <x:c r="P60" s="26"/>
      <x:c r="Q60" s="26"/>
      <x:c r="R60" s="26"/>
      <x:c r="S60" s="26"/>
      <x:c r="T60" s="26"/>
      <x:c r="U60" s="26"/>
      <x:c r="V60" s="26"/>
      <x:c r="W60" s="26"/>
      <x:c r="X60" s="26"/>
      <x:c r="Y60" s="26"/>
      <x:c r="Z60" s="26"/>
    </x:row>
    <x:row r="61">
      <x:c r="A61" s="26"/>
      <x:c r="B61" s="26"/>
      <x:c r="C61" s="26"/>
      <x:c r="D61" s="26"/>
      <x:c r="E61" s="26"/>
      <x:c r="F61" s="26"/>
      <x:c r="G61" s="26"/>
      <x:c r="H61" s="26"/>
      <x:c r="I61" s="26"/>
      <x:c r="J61" s="26"/>
      <x:c r="K61" s="26"/>
      <x:c r="L61" s="26"/>
      <x:c r="M61" s="26"/>
      <x:c r="N61" s="26"/>
      <x:c r="O61" s="26"/>
      <x:c r="P61" s="26"/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</x:row>
    <x:row r="62">
      <x:c r="A62" s="26"/>
      <x:c r="B62" s="26"/>
      <x:c r="C62" s="26"/>
      <x:c r="D62" s="26"/>
      <x:c r="E62" s="26"/>
      <x:c r="F62" s="26"/>
      <x:c r="G62" s="26"/>
      <x:c r="H62" s="26"/>
      <x:c r="I62" s="26"/>
      <x:c r="J62" s="26"/>
      <x:c r="K62" s="26"/>
      <x:c r="L62" s="26"/>
      <x:c r="M62" s="26"/>
      <x:c r="N62" s="26"/>
      <x:c r="O62" s="26"/>
      <x:c r="P62" s="26"/>
      <x:c r="Q62" s="26"/>
      <x:c r="R62" s="26"/>
      <x:c r="S62" s="26"/>
      <x:c r="T62" s="26"/>
      <x:c r="U62" s="26"/>
      <x:c r="V62" s="26"/>
      <x:c r="W62" s="26"/>
      <x:c r="X62" s="26"/>
      <x:c r="Y62" s="26"/>
      <x:c r="Z62" s="26"/>
    </x:row>
    <x:row r="63">
      <x:c r="A63" s="26"/>
      <x:c r="B63" s="26"/>
      <x:c r="C63" s="26"/>
      <x:c r="D63" s="26"/>
      <x:c r="E63" s="26"/>
      <x:c r="F63" s="26"/>
      <x:c r="G63" s="26"/>
      <x:c r="H63" s="26"/>
      <x:c r="I63" s="26"/>
      <x:c r="J63" s="26"/>
      <x:c r="K63" s="26"/>
      <x:c r="L63" s="26"/>
      <x:c r="M63" s="26"/>
      <x:c r="N63" s="26"/>
      <x:c r="O63" s="26"/>
      <x:c r="P63" s="26"/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</x:row>
    <x:row r="64">
      <x:c r="A64" s="26"/>
      <x:c r="B64" s="26"/>
      <x:c r="C64" s="26"/>
      <x:c r="D64" s="26"/>
      <x:c r="E64" s="26"/>
      <x:c r="F64" s="26"/>
      <x:c r="G64" s="26"/>
      <x:c r="H64" s="26"/>
      <x:c r="I64" s="26"/>
      <x:c r="J64" s="26"/>
      <x:c r="K64" s="26"/>
      <x:c r="L64" s="26"/>
      <x:c r="M64" s="26"/>
      <x:c r="N64" s="26"/>
      <x:c r="O64" s="26"/>
      <x:c r="P64" s="26"/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</x:row>
    <x:row r="65">
      <x:c r="A65" s="26"/>
      <x:c r="B65" s="26"/>
      <x:c r="C65" s="26"/>
      <x:c r="D65" s="26"/>
      <x:c r="E65" s="26"/>
      <x:c r="F65" s="26"/>
      <x:c r="G65" s="26"/>
      <x:c r="H65" s="26"/>
      <x:c r="I65" s="26"/>
      <x:c r="J65" s="26"/>
      <x:c r="K65" s="26"/>
      <x:c r="L65" s="26"/>
      <x:c r="M65" s="26"/>
      <x:c r="N65" s="26"/>
      <x:c r="O65" s="26"/>
      <x:c r="P65" s="26"/>
      <x:c r="Q65" s="26"/>
      <x:c r="R65" s="26"/>
      <x:c r="S65" s="26"/>
      <x:c r="T65" s="26"/>
      <x:c r="U65" s="26"/>
      <x:c r="V65" s="26"/>
      <x:c r="W65" s="26"/>
      <x:c r="X65" s="26"/>
      <x:c r="Y65" s="26"/>
      <x:c r="Z65" s="26"/>
    </x:row>
    <x:row r="66">
      <x:c r="A66" s="26"/>
      <x:c r="B66" s="26"/>
      <x:c r="C66" s="26"/>
      <x:c r="D66" s="26"/>
      <x:c r="E66" s="26"/>
      <x:c r="F66" s="26"/>
      <x:c r="G66" s="26"/>
      <x:c r="H66" s="26"/>
      <x:c r="I66" s="26"/>
      <x:c r="J66" s="26"/>
      <x:c r="K66" s="26"/>
      <x:c r="L66" s="26"/>
      <x:c r="M66" s="26"/>
      <x:c r="N66" s="26"/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</x:row>
    <x:row r="67">
      <x:c r="A67" s="26"/>
      <x:c r="B67" s="26"/>
      <x:c r="C67" s="26"/>
      <x:c r="D67" s="26"/>
      <x:c r="E67" s="26"/>
      <x:c r="F67" s="26"/>
      <x:c r="G67" s="26"/>
      <x:c r="H67" s="26"/>
      <x:c r="I67" s="26"/>
      <x:c r="J67" s="26"/>
      <x:c r="K67" s="26"/>
      <x:c r="L67" s="26"/>
      <x:c r="M67" s="26"/>
      <x:c r="N67" s="26"/>
      <x:c r="O67" s="26"/>
      <x:c r="P67" s="26"/>
      <x:c r="Q67" s="26"/>
      <x:c r="R67" s="26"/>
      <x:c r="S67" s="26"/>
      <x:c r="T67" s="26"/>
      <x:c r="U67" s="26"/>
      <x:c r="V67" s="26"/>
      <x:c r="W67" s="26"/>
      <x:c r="X67" s="26"/>
      <x:c r="Y67" s="26"/>
      <x:c r="Z67" s="26"/>
    </x:row>
    <x:row r="68">
      <x:c r="A68" s="26"/>
      <x:c r="B68" s="26"/>
      <x:c r="C68" s="26"/>
      <x:c r="D68" s="26"/>
      <x:c r="E68" s="26"/>
      <x:c r="F68" s="26"/>
      <x:c r="G68" s="26"/>
      <x:c r="H68" s="26"/>
      <x:c r="I68" s="26"/>
      <x:c r="J68" s="26"/>
      <x:c r="K68" s="26"/>
      <x:c r="L68" s="26"/>
      <x:c r="M68" s="26"/>
      <x:c r="N68" s="26"/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6"/>
      <x:c r="Z68" s="26"/>
    </x:row>
    <x:row r="69">
      <x:c r="A69" s="26"/>
      <x:c r="B69" s="26"/>
      <x:c r="C69" s="26"/>
      <x:c r="D69" s="26"/>
      <x:c r="E69" s="26"/>
      <x:c r="F69" s="26"/>
      <x:c r="G69" s="26"/>
      <x:c r="H69" s="26"/>
      <x:c r="I69" s="26"/>
      <x:c r="J69" s="26"/>
      <x:c r="K69" s="26"/>
      <x:c r="L69" s="26"/>
      <x:c r="M69" s="26"/>
      <x:c r="N69" s="26"/>
      <x:c r="O69" s="26"/>
      <x:c r="P69" s="26"/>
      <x:c r="Q69" s="26"/>
      <x:c r="R69" s="26"/>
      <x:c r="S69" s="26"/>
      <x:c r="T69" s="26"/>
      <x:c r="U69" s="26"/>
      <x:c r="V69" s="26"/>
      <x:c r="W69" s="26"/>
      <x:c r="X69" s="26"/>
      <x:c r="Y69" s="26"/>
      <x:c r="Z69" s="26"/>
    </x:row>
    <x:row r="70">
      <x:c r="A70" s="26"/>
      <x:c r="B70" s="26"/>
      <x:c r="C70" s="26"/>
      <x:c r="D70" s="26"/>
      <x:c r="E70" s="26"/>
      <x:c r="F70" s="26"/>
      <x:c r="G70" s="26"/>
      <x:c r="H70" s="26"/>
      <x:c r="I70" s="26"/>
      <x:c r="J70" s="26"/>
      <x:c r="K70" s="26"/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</x:row>
    <x:row r="71">
      <x:c r="A71" s="26"/>
      <x:c r="B71" s="26"/>
      <x:c r="C71" s="26"/>
      <x:c r="D71" s="26"/>
      <x:c r="E71" s="26"/>
      <x:c r="F71" s="26"/>
      <x:c r="G71" s="26"/>
      <x:c r="H71" s="26"/>
      <x:c r="I71" s="26"/>
      <x:c r="J71" s="26"/>
      <x:c r="K71" s="26"/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6"/>
      <x:c r="Z71" s="26"/>
    </x:row>
    <x:row r="72">
      <x:c r="A72" s="26"/>
      <x:c r="B72" s="26"/>
      <x:c r="C72" s="26"/>
      <x:c r="D72" s="26"/>
      <x:c r="E72" s="26"/>
      <x:c r="F72" s="26"/>
      <x:c r="G72" s="26"/>
      <x:c r="H72" s="26"/>
      <x:c r="I72" s="26"/>
      <x:c r="J72" s="26"/>
      <x:c r="K72" s="26"/>
      <x:c r="L72" s="26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/>
      <x:c r="Y72" s="26"/>
      <x:c r="Z72" s="26"/>
    </x:row>
    <x:row r="73">
      <x:c r="A73" s="26"/>
      <x:c r="B73" s="26"/>
      <x:c r="C73" s="26"/>
      <x:c r="D73" s="26"/>
      <x:c r="E73" s="26"/>
      <x:c r="F73" s="26"/>
      <x:c r="G73" s="26"/>
      <x:c r="H73" s="26"/>
      <x:c r="I73" s="26"/>
      <x:c r="J73" s="26"/>
      <x:c r="K73" s="26"/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</x:row>
    <x:row r="74">
      <x:c r="A74" s="26"/>
      <x:c r="B74" s="26"/>
      <x:c r="C74" s="26"/>
      <x:c r="D74" s="26"/>
      <x:c r="E74" s="26"/>
      <x:c r="F74" s="26"/>
      <x:c r="G74" s="26"/>
      <x:c r="H74" s="26"/>
      <x:c r="I74" s="26"/>
      <x:c r="J74" s="26"/>
      <x:c r="K74" s="26"/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6"/>
      <x:c r="Z74" s="26"/>
    </x:row>
    <x:row r="75">
      <x:c r="A75" s="26"/>
      <x:c r="B75" s="26"/>
      <x:c r="C75" s="26"/>
      <x:c r="D75" s="26"/>
      <x:c r="E75" s="26"/>
      <x:c r="F75" s="26"/>
      <x:c r="G75" s="26"/>
      <x:c r="H75" s="26"/>
      <x:c r="I75" s="26"/>
      <x:c r="J75" s="26"/>
      <x:c r="K75" s="26"/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6"/>
      <x:c r="Z75" s="26"/>
    </x:row>
    <x:row r="76">
      <x:c r="A76" s="26"/>
      <x:c r="B76" s="26"/>
      <x:c r="C76" s="26"/>
      <x:c r="D76" s="26"/>
      <x:c r="E76" s="26"/>
      <x:c r="F76" s="26"/>
      <x:c r="G76" s="26"/>
      <x:c r="H76" s="26"/>
      <x:c r="I76" s="26"/>
      <x:c r="J76" s="26"/>
      <x:c r="K76" s="26"/>
      <x:c r="L76" s="26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6"/>
      <x:c r="Z76" s="26"/>
    </x:row>
    <x:row r="77">
      <x:c r="A77" s="26"/>
      <x:c r="B77" s="26"/>
      <x:c r="C77" s="26"/>
      <x:c r="D77" s="26"/>
      <x:c r="E77" s="26"/>
      <x:c r="F77" s="26"/>
      <x:c r="G77" s="26"/>
      <x:c r="H77" s="26"/>
      <x:c r="I77" s="26"/>
      <x:c r="J77" s="26"/>
      <x:c r="K77" s="26"/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</x:row>
    <x:row r="78">
      <x:c r="A78" s="26"/>
      <x:c r="B78" s="26"/>
      <x:c r="C78" s="26"/>
      <x:c r="D78" s="26"/>
      <x:c r="E78" s="26"/>
      <x:c r="F78" s="26"/>
      <x:c r="G78" s="26"/>
      <x:c r="H78" s="26"/>
      <x:c r="I78" s="26"/>
      <x:c r="J78" s="26"/>
      <x:c r="K78" s="26"/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6"/>
      <x:c r="Z78" s="26"/>
    </x:row>
    <x:row r="79">
      <x:c r="A79" s="26"/>
      <x:c r="B79" s="26"/>
      <x:c r="C79" s="26"/>
      <x:c r="D79" s="26"/>
      <x:c r="E79" s="26"/>
      <x:c r="F79" s="26"/>
      <x:c r="G79" s="26"/>
      <x:c r="H79" s="26"/>
      <x:c r="I79" s="26"/>
      <x:c r="J79" s="26"/>
      <x:c r="K79" s="26"/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/>
      <x:c r="Z79" s="26"/>
    </x:row>
    <x:row r="80">
      <x:c r="A80" s="26"/>
      <x:c r="B80" s="26"/>
      <x:c r="C80" s="26"/>
      <x:c r="D80" s="26"/>
      <x:c r="E80" s="26"/>
      <x:c r="F80" s="26"/>
      <x:c r="G80" s="26"/>
      <x:c r="H80" s="26"/>
      <x:c r="I80" s="26"/>
      <x:c r="J80" s="26"/>
      <x:c r="K80" s="26"/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</x:row>
    <x:row r="81">
      <x:c r="A81" s="26"/>
      <x:c r="B81" s="26"/>
      <x:c r="C81" s="26"/>
      <x:c r="D81" s="26"/>
      <x:c r="E81" s="26"/>
      <x:c r="F81" s="26"/>
      <x:c r="G81" s="26"/>
      <x:c r="H81" s="26"/>
      <x:c r="I81" s="26"/>
      <x:c r="J81" s="26"/>
      <x:c r="K81" s="26"/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  <x:c r="Z81" s="26"/>
    </x:row>
    <x:row r="82">
      <x:c r="A82" s="26"/>
      <x:c r="B82" s="26"/>
      <x:c r="C82" s="26"/>
      <x:c r="D82" s="26"/>
      <x:c r="E82" s="26"/>
      <x:c r="F82" s="26"/>
      <x:c r="G82" s="26"/>
      <x:c r="H82" s="26"/>
      <x:c r="I82" s="26"/>
      <x:c r="J82" s="26"/>
      <x:c r="K82" s="26"/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</x:row>
    <x:row r="83">
      <x:c r="A83" s="26"/>
      <x:c r="B83" s="26"/>
      <x:c r="C83" s="26"/>
      <x:c r="D83" s="26"/>
      <x:c r="E83" s="26"/>
      <x:c r="F83" s="26"/>
      <x:c r="G83" s="26"/>
      <x:c r="H83" s="26"/>
      <x:c r="I83" s="26"/>
      <x:c r="J83" s="26"/>
      <x:c r="K83" s="26"/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6"/>
    </x:row>
    <x:row r="84">
      <x:c r="A84" s="26"/>
      <x:c r="B84" s="26"/>
      <x:c r="C84" s="26"/>
      <x:c r="D84" s="26"/>
      <x:c r="E84" s="26"/>
      <x:c r="F84" s="26"/>
      <x:c r="G84" s="26"/>
      <x:c r="H84" s="26"/>
      <x:c r="I84" s="26"/>
      <x:c r="J84" s="26"/>
      <x:c r="K84" s="26"/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6"/>
    </x:row>
    <x:row r="85">
      <x:c r="A85" s="26"/>
      <x:c r="B85" s="26"/>
      <x:c r="C85" s="26"/>
      <x:c r="D85" s="26"/>
      <x:c r="E85" s="26"/>
      <x:c r="F85" s="26"/>
      <x:c r="G85" s="26"/>
      <x:c r="H85" s="26"/>
      <x:c r="I85" s="26"/>
      <x:c r="J85" s="26"/>
      <x:c r="K85" s="26"/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  <x:c r="Z85" s="26"/>
    </x:row>
    <x:row r="86">
      <x:c r="A86" s="26"/>
      <x:c r="B86" s="26"/>
      <x:c r="C86" s="26"/>
      <x:c r="D86" s="26"/>
      <x:c r="E86" s="26"/>
      <x:c r="F86" s="26"/>
      <x:c r="G86" s="26"/>
      <x:c r="H86" s="26"/>
      <x:c r="I86" s="26"/>
      <x:c r="J86" s="26"/>
      <x:c r="K86" s="26"/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6"/>
    </x:row>
    <x:row r="87">
      <x:c r="A87" s="26"/>
      <x:c r="B87" s="26"/>
      <x:c r="C87" s="26"/>
      <x:c r="D87" s="26"/>
      <x:c r="E87" s="26"/>
      <x:c r="F87" s="26"/>
      <x:c r="G87" s="26"/>
      <x:c r="H87" s="26"/>
      <x:c r="I87" s="26"/>
      <x:c r="J87" s="26"/>
      <x:c r="K87" s="26"/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6"/>
    </x:row>
    <x:row r="88">
      <x:c r="A88" s="26"/>
      <x:c r="B88" s="26"/>
      <x:c r="C88" s="26"/>
      <x:c r="D88" s="26"/>
      <x:c r="E88" s="26"/>
      <x:c r="F88" s="26"/>
      <x:c r="G88" s="26"/>
      <x:c r="H88" s="26"/>
      <x:c r="I88" s="26"/>
      <x:c r="J88" s="26"/>
      <x:c r="K88" s="26"/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6"/>
    </x:row>
    <x:row r="89">
      <x:c r="A89" s="26"/>
      <x:c r="B89" s="26"/>
      <x:c r="C89" s="26"/>
      <x:c r="D89" s="26"/>
      <x:c r="E89" s="26"/>
      <x:c r="F89" s="26"/>
      <x:c r="G89" s="26"/>
      <x:c r="H89" s="26"/>
      <x:c r="I89" s="26"/>
      <x:c r="J89" s="26"/>
      <x:c r="K89" s="26"/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6"/>
    </x:row>
    <x:row r="90">
      <x:c r="A90" s="26"/>
      <x:c r="B90" s="26"/>
      <x:c r="C90" s="26"/>
      <x:c r="D90" s="26"/>
      <x:c r="E90" s="26"/>
      <x:c r="F90" s="26"/>
      <x:c r="G90" s="26"/>
      <x:c r="H90" s="26"/>
      <x:c r="I90" s="26"/>
      <x:c r="J90" s="26"/>
      <x:c r="K90" s="26"/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6"/>
    </x:row>
    <x:row r="91">
      <x:c r="A91" s="26"/>
      <x:c r="B91" s="26"/>
      <x:c r="C91" s="26"/>
      <x:c r="D91" s="26"/>
      <x:c r="E91" s="26"/>
      <x:c r="F91" s="26"/>
      <x:c r="G91" s="26"/>
      <x:c r="H91" s="26"/>
      <x:c r="I91" s="26"/>
      <x:c r="J91" s="26"/>
      <x:c r="K91" s="26"/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6"/>
    </x:row>
    <x:row r="92">
      <x:c r="A92" s="26"/>
      <x:c r="B92" s="26"/>
      <x:c r="C92" s="26"/>
      <x:c r="D92" s="26"/>
      <x:c r="E92" s="26"/>
      <x:c r="F92" s="26"/>
      <x:c r="G92" s="26"/>
      <x:c r="H92" s="26"/>
      <x:c r="I92" s="26"/>
      <x:c r="J92" s="26"/>
      <x:c r="K92" s="26"/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6"/>
    </x:row>
    <x:row r="93">
      <x:c r="A93" s="26"/>
      <x:c r="B93" s="26"/>
      <x:c r="C93" s="26"/>
      <x:c r="D93" s="26"/>
      <x:c r="E93" s="26"/>
      <x:c r="F93" s="26"/>
      <x:c r="G93" s="26"/>
      <x:c r="H93" s="26"/>
      <x:c r="I93" s="26"/>
      <x:c r="J93" s="26"/>
      <x:c r="K93" s="26"/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6"/>
    </x:row>
    <x:row r="94">
      <x:c r="A94" s="26"/>
      <x:c r="B94" s="26"/>
      <x:c r="C94" s="26"/>
      <x:c r="D94" s="26"/>
      <x:c r="E94" s="26"/>
      <x:c r="F94" s="26"/>
      <x:c r="G94" s="26"/>
      <x:c r="H94" s="26"/>
      <x:c r="I94" s="26"/>
      <x:c r="J94" s="26"/>
      <x:c r="K94" s="26"/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6"/>
    </x:row>
    <x:row r="95">
      <x:c r="A95" s="26"/>
      <x:c r="B95" s="26"/>
      <x:c r="C95" s="26"/>
      <x:c r="D95" s="26"/>
      <x:c r="E95" s="26"/>
      <x:c r="F95" s="26"/>
      <x:c r="G95" s="26"/>
      <x:c r="H95" s="26"/>
      <x:c r="I95" s="26"/>
      <x:c r="J95" s="26"/>
      <x:c r="K95" s="26"/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</x:row>
    <x:row r="96">
      <x:c r="A96" s="26"/>
      <x:c r="B96" s="26"/>
      <x:c r="C96" s="26"/>
      <x:c r="D96" s="26"/>
      <x:c r="E96" s="26"/>
      <x:c r="F96" s="26"/>
      <x:c r="G96" s="26"/>
      <x:c r="H96" s="26"/>
      <x:c r="I96" s="26"/>
      <x:c r="J96" s="26"/>
      <x:c r="K96" s="26"/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</x:row>
    <x:row r="97">
      <x:c r="A97" s="26"/>
      <x:c r="B97" s="26"/>
      <x:c r="C97" s="26"/>
      <x:c r="D97" s="26"/>
      <x:c r="E97" s="26"/>
      <x:c r="F97" s="26"/>
      <x:c r="G97" s="26"/>
      <x:c r="H97" s="26"/>
      <x:c r="I97" s="26"/>
      <x:c r="J97" s="26"/>
      <x:c r="K97" s="26"/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</x:row>
    <x:row r="98">
      <x:c r="A98" s="26"/>
      <x:c r="B98" s="26"/>
      <x:c r="C98" s="26"/>
      <x:c r="D98" s="26"/>
      <x:c r="E98" s="26"/>
      <x:c r="F98" s="26"/>
      <x:c r="G98" s="26"/>
      <x:c r="H98" s="26"/>
      <x:c r="I98" s="26"/>
      <x:c r="J98" s="26"/>
      <x:c r="K98" s="26"/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</x:row>
    <x:row r="99">
      <x:c r="A99" s="26"/>
      <x:c r="B99" s="26"/>
      <x:c r="C99" s="26"/>
      <x:c r="D99" s="26"/>
      <x:c r="E99" s="26"/>
      <x:c r="F99" s="26"/>
      <x:c r="G99" s="26"/>
      <x:c r="H99" s="26"/>
      <x:c r="I99" s="26"/>
      <x:c r="J99" s="26"/>
      <x:c r="K99" s="26"/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</x:row>
    <x:row r="100">
      <x:c r="A100" s="26"/>
      <x:c r="B100" s="26"/>
      <x:c r="C100" s="26"/>
      <x:c r="D100" s="26"/>
      <x:c r="E100" s="26"/>
      <x:c r="F100" s="26"/>
      <x:c r="G100" s="26"/>
      <x:c r="H100" s="26"/>
      <x:c r="I100" s="26"/>
      <x:c r="J100" s="26"/>
      <x:c r="K100" s="26"/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</x:row>
    <x:row r="101">
      <x:c r="A101" s="26"/>
      <x:c r="B101" s="26"/>
      <x:c r="C101" s="26"/>
      <x:c r="D101" s="26"/>
      <x:c r="E101" s="26"/>
      <x:c r="F101" s="26"/>
      <x:c r="G101" s="26"/>
      <x:c r="H101" s="26"/>
      <x:c r="I101" s="26"/>
      <x:c r="J101" s="26"/>
      <x:c r="K101" s="26"/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</x:row>
    <x:row r="102">
      <x:c r="A102" s="26"/>
      <x:c r="B102" s="26"/>
      <x:c r="C102" s="26"/>
      <x:c r="D102" s="26"/>
      <x:c r="E102" s="26"/>
      <x:c r="F102" s="26"/>
      <x:c r="G102" s="26"/>
      <x:c r="H102" s="26"/>
      <x:c r="I102" s="26"/>
      <x:c r="J102" s="26"/>
      <x:c r="K102" s="26"/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  <x:c r="Z102" s="26"/>
    </x:row>
    <x:row r="103">
      <x:c r="A103" s="26"/>
      <x:c r="B103" s="26"/>
      <x:c r="C103" s="26"/>
      <x:c r="D103" s="26"/>
      <x:c r="E103" s="26"/>
      <x:c r="F103" s="26"/>
      <x:c r="G103" s="26"/>
      <x:c r="H103" s="26"/>
      <x:c r="I103" s="26"/>
      <x:c r="J103" s="26"/>
      <x:c r="K103" s="26"/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</x:row>
    <x:row r="104">
      <x:c r="A104" s="26"/>
      <x:c r="B104" s="26"/>
      <x:c r="C104" s="26"/>
      <x:c r="D104" s="26"/>
      <x:c r="E104" s="26"/>
      <x:c r="F104" s="26"/>
      <x:c r="G104" s="26"/>
      <x:c r="H104" s="26"/>
      <x:c r="I104" s="26"/>
      <x:c r="J104" s="26"/>
      <x:c r="K104" s="26"/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</x:row>
    <x:row r="105">
      <x:c r="A105" s="26"/>
      <x:c r="B105" s="26"/>
      <x:c r="C105" s="26"/>
      <x:c r="D105" s="26"/>
      <x:c r="E105" s="26"/>
      <x:c r="F105" s="26"/>
      <x:c r="G105" s="26"/>
      <x:c r="H105" s="26"/>
      <x:c r="I105" s="26"/>
      <x:c r="J105" s="26"/>
      <x:c r="K105" s="26"/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</x:row>
    <x:row r="106">
      <x:c r="A106" s="26"/>
      <x:c r="B106" s="26"/>
      <x:c r="C106" s="26"/>
      <x:c r="D106" s="26"/>
      <x:c r="E106" s="26"/>
      <x:c r="F106" s="26"/>
      <x:c r="G106" s="26"/>
      <x:c r="H106" s="26"/>
      <x:c r="I106" s="26"/>
      <x:c r="J106" s="26"/>
      <x:c r="K106" s="26"/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</x:row>
    <x:row r="107">
      <x:c r="A107" s="26"/>
      <x:c r="B107" s="26"/>
      <x:c r="C107" s="26"/>
      <x:c r="D107" s="26"/>
      <x:c r="E107" s="26"/>
      <x:c r="F107" s="26"/>
      <x:c r="G107" s="26"/>
      <x:c r="H107" s="26"/>
      <x:c r="I107" s="26"/>
      <x:c r="J107" s="26"/>
      <x:c r="K107" s="26"/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</x:row>
    <x:row r="108">
      <x:c r="A108" s="26"/>
      <x:c r="B108" s="26"/>
      <x:c r="C108" s="26"/>
      <x:c r="D108" s="26"/>
      <x:c r="E108" s="26"/>
      <x:c r="F108" s="26"/>
      <x:c r="G108" s="26"/>
      <x:c r="H108" s="26"/>
      <x:c r="I108" s="26"/>
      <x:c r="J108" s="26"/>
      <x:c r="K108" s="26"/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</x:row>
    <x:row r="109">
      <x:c r="A109" s="26"/>
      <x:c r="B109" s="26"/>
      <x:c r="C109" s="26"/>
      <x:c r="D109" s="26"/>
      <x:c r="E109" s="26"/>
      <x:c r="F109" s="26"/>
      <x:c r="G109" s="26"/>
      <x:c r="H109" s="26"/>
      <x:c r="I109" s="26"/>
      <x:c r="J109" s="26"/>
      <x:c r="K109" s="26"/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</x:row>
    <x:row r="110">
      <x:c r="A110" s="26"/>
      <x:c r="B110" s="26"/>
      <x:c r="C110" s="26"/>
      <x:c r="D110" s="26"/>
      <x:c r="E110" s="26"/>
      <x:c r="F110" s="26"/>
      <x:c r="G110" s="26"/>
      <x:c r="H110" s="26"/>
      <x:c r="I110" s="26"/>
      <x:c r="J110" s="26"/>
      <x:c r="K110" s="26"/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</x:row>
    <x:row r="111">
      <x:c r="A111" s="26"/>
      <x:c r="B111" s="26"/>
      <x:c r="C111" s="26"/>
      <x:c r="D111" s="26"/>
      <x:c r="E111" s="26"/>
      <x:c r="F111" s="26"/>
      <x:c r="G111" s="26"/>
      <x:c r="H111" s="26"/>
      <x:c r="I111" s="26"/>
      <x:c r="J111" s="26"/>
      <x:c r="K111" s="26"/>
      <x:c r="L111" s="26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/>
      <x:c r="Y111" s="26"/>
      <x:c r="Z111" s="26"/>
    </x:row>
    <x:row r="112">
      <x:c r="A112" s="26"/>
      <x:c r="B112" s="26"/>
      <x:c r="C112" s="26"/>
      <x:c r="D112" s="26"/>
      <x:c r="E112" s="26"/>
      <x:c r="F112" s="26"/>
      <x:c r="G112" s="26"/>
      <x:c r="H112" s="26"/>
      <x:c r="I112" s="26"/>
      <x:c r="J112" s="26"/>
      <x:c r="K112" s="26"/>
      <x:c r="L112" s="26"/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/>
      <x:c r="Z112" s="26"/>
    </x:row>
    <x:row r="113">
      <x:c r="A113" s="26"/>
      <x:c r="B113" s="26"/>
      <x:c r="C113" s="26"/>
      <x:c r="D113" s="26"/>
      <x:c r="E113" s="26"/>
      <x:c r="F113" s="26"/>
      <x:c r="G113" s="26"/>
      <x:c r="H113" s="26"/>
      <x:c r="I113" s="26"/>
      <x:c r="J113" s="26"/>
      <x:c r="K113" s="26"/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6"/>
    </x:row>
    <x:row r="114">
      <x:c r="A114" s="26"/>
      <x:c r="B114" s="26"/>
      <x:c r="C114" s="26"/>
      <x:c r="D114" s="26"/>
      <x:c r="E114" s="26"/>
      <x:c r="F114" s="26"/>
      <x:c r="G114" s="26"/>
      <x:c r="H114" s="26"/>
      <x:c r="I114" s="26"/>
      <x:c r="J114" s="26"/>
      <x:c r="K114" s="26"/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</x:row>
    <x:row r="115">
      <x:c r="A115" s="26"/>
      <x:c r="B115" s="26"/>
      <x:c r="C115" s="26"/>
      <x:c r="D115" s="26"/>
      <x:c r="E115" s="26"/>
      <x:c r="F115" s="26"/>
      <x:c r="G115" s="26"/>
      <x:c r="H115" s="26"/>
      <x:c r="I115" s="26"/>
      <x:c r="J115" s="26"/>
      <x:c r="K115" s="26"/>
      <x:c r="L115" s="26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6"/>
    </x:row>
    <x:row r="116">
      <x:c r="A116" s="26"/>
      <x:c r="B116" s="26"/>
      <x:c r="C116" s="26"/>
      <x:c r="D116" s="26"/>
      <x:c r="E116" s="26"/>
      <x:c r="F116" s="26"/>
      <x:c r="G116" s="26"/>
      <x:c r="H116" s="26"/>
      <x:c r="I116" s="26"/>
      <x:c r="J116" s="26"/>
      <x:c r="K116" s="26"/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</x:row>
    <x:row r="117">
      <x:c r="A117" s="26"/>
      <x:c r="B117" s="26"/>
      <x:c r="C117" s="26"/>
      <x:c r="D117" s="26"/>
      <x:c r="E117" s="26"/>
      <x:c r="F117" s="26"/>
      <x:c r="G117" s="26"/>
      <x:c r="H117" s="26"/>
      <x:c r="I117" s="26"/>
      <x:c r="J117" s="26"/>
      <x:c r="K117" s="26"/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</x:row>
    <x:row r="118">
      <x:c r="A118" s="26"/>
      <x:c r="B118" s="26"/>
      <x:c r="C118" s="26"/>
      <x:c r="D118" s="26"/>
      <x:c r="E118" s="26"/>
      <x:c r="F118" s="26"/>
      <x:c r="G118" s="26"/>
      <x:c r="H118" s="26"/>
      <x:c r="I118" s="26"/>
      <x:c r="J118" s="26"/>
      <x:c r="K118" s="26"/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</x:row>
    <x:row r="119">
      <x:c r="A119" s="26"/>
      <x:c r="B119" s="26"/>
      <x:c r="C119" s="26"/>
      <x:c r="D119" s="26"/>
      <x:c r="E119" s="26"/>
      <x:c r="F119" s="26"/>
      <x:c r="G119" s="26"/>
      <x:c r="H119" s="26"/>
      <x:c r="I119" s="26"/>
      <x:c r="J119" s="26"/>
      <x:c r="K119" s="26"/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</x:row>
    <x:row r="120">
      <x:c r="A120" s="26"/>
      <x:c r="B120" s="26"/>
      <x:c r="C120" s="26"/>
      <x:c r="D120" s="26"/>
      <x:c r="E120" s="26"/>
      <x:c r="F120" s="26"/>
      <x:c r="G120" s="26"/>
      <x:c r="H120" s="26"/>
      <x:c r="I120" s="26"/>
      <x:c r="J120" s="26"/>
      <x:c r="K120" s="26"/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</x:row>
    <x:row r="121">
      <x:c r="A121" s="26"/>
      <x:c r="B121" s="26"/>
      <x:c r="C121" s="26"/>
      <x:c r="D121" s="26"/>
      <x:c r="E121" s="26"/>
      <x:c r="F121" s="26"/>
      <x:c r="G121" s="26"/>
      <x:c r="H121" s="26"/>
      <x:c r="I121" s="26"/>
      <x:c r="J121" s="26"/>
      <x:c r="K121" s="26"/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6"/>
    </x:row>
    <x:row r="122">
      <x:c r="A122" s="26"/>
      <x:c r="B122" s="26"/>
      <x:c r="C122" s="26"/>
      <x:c r="D122" s="26"/>
      <x:c r="E122" s="26"/>
      <x:c r="F122" s="26"/>
      <x:c r="G122" s="26"/>
      <x:c r="H122" s="26"/>
      <x:c r="I122" s="26"/>
      <x:c r="J122" s="26"/>
      <x:c r="K122" s="26"/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6"/>
    </x:row>
    <x:row r="123">
      <x:c r="A123" s="26"/>
      <x:c r="B123" s="26"/>
      <x:c r="C123" s="26"/>
      <x:c r="D123" s="26"/>
      <x:c r="E123" s="26"/>
      <x:c r="F123" s="26"/>
      <x:c r="G123" s="26"/>
      <x:c r="H123" s="26"/>
      <x:c r="I123" s="26"/>
      <x:c r="J123" s="26"/>
      <x:c r="K123" s="26"/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6"/>
    </x:row>
    <x:row r="124">
      <x:c r="A124" s="26"/>
      <x:c r="B124" s="26"/>
      <x:c r="C124" s="26"/>
      <x:c r="D124" s="26"/>
      <x:c r="E124" s="26"/>
      <x:c r="F124" s="26"/>
      <x:c r="G124" s="26"/>
      <x:c r="H124" s="26"/>
      <x:c r="I124" s="26"/>
      <x:c r="J124" s="26"/>
      <x:c r="K124" s="26"/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</x:row>
    <x:row r="125">
      <x:c r="A125" s="26"/>
      <x:c r="B125" s="26"/>
      <x:c r="C125" s="26"/>
      <x:c r="D125" s="26"/>
      <x:c r="E125" s="26"/>
      <x:c r="F125" s="26"/>
      <x:c r="G125" s="26"/>
      <x:c r="H125" s="26"/>
      <x:c r="I125" s="26"/>
      <x:c r="J125" s="26"/>
      <x:c r="K125" s="26"/>
      <x:c r="L125" s="26"/>
      <x:c r="M125" s="26"/>
      <x:c r="N125" s="26"/>
      <x:c r="O125" s="26"/>
      <x:c r="P125" s="26"/>
      <x:c r="Q125" s="26"/>
      <x:c r="R125" s="26"/>
      <x:c r="S125" s="26"/>
      <x:c r="T125" s="26"/>
      <x:c r="U125" s="26"/>
      <x:c r="V125" s="26"/>
      <x:c r="W125" s="26"/>
      <x:c r="X125" s="26"/>
      <x:c r="Y125" s="26"/>
      <x:c r="Z125" s="26"/>
    </x:row>
    <x:row r="126">
      <x:c r="A126" s="26"/>
      <x:c r="B126" s="26"/>
      <x:c r="C126" s="26"/>
      <x:c r="D126" s="26"/>
      <x:c r="E126" s="26"/>
      <x:c r="F126" s="26"/>
      <x:c r="G126" s="26"/>
      <x:c r="H126" s="26"/>
      <x:c r="I126" s="26"/>
      <x:c r="J126" s="26"/>
      <x:c r="K126" s="26"/>
      <x:c r="L126" s="26"/>
      <x:c r="M126" s="26"/>
      <x:c r="N126" s="26"/>
      <x:c r="O126" s="26"/>
      <x:c r="P126" s="26"/>
      <x:c r="Q126" s="26"/>
      <x:c r="R126" s="26"/>
      <x:c r="S126" s="26"/>
      <x:c r="T126" s="26"/>
      <x:c r="U126" s="26"/>
      <x:c r="V126" s="26"/>
      <x:c r="W126" s="26"/>
      <x:c r="X126" s="26"/>
      <x:c r="Y126" s="26"/>
      <x:c r="Z126" s="26"/>
    </x:row>
    <x:row r="127">
      <x:c r="A127" s="26"/>
      <x:c r="B127" s="26"/>
      <x:c r="C127" s="26"/>
      <x:c r="D127" s="26"/>
      <x:c r="E127" s="26"/>
      <x:c r="F127" s="26"/>
      <x:c r="G127" s="26"/>
      <x:c r="H127" s="26"/>
      <x:c r="I127" s="26"/>
      <x:c r="J127" s="26"/>
      <x:c r="K127" s="26"/>
      <x:c r="L127" s="26"/>
      <x:c r="M127" s="26"/>
      <x:c r="N127" s="26"/>
      <x:c r="O127" s="26"/>
      <x:c r="P127" s="26"/>
      <x:c r="Q127" s="26"/>
      <x:c r="R127" s="26"/>
      <x:c r="S127" s="26"/>
      <x:c r="T127" s="26"/>
      <x:c r="U127" s="26"/>
      <x:c r="V127" s="26"/>
      <x:c r="W127" s="26"/>
      <x:c r="X127" s="26"/>
      <x:c r="Y127" s="26"/>
      <x:c r="Z127" s="26"/>
    </x:row>
    <x:row r="128">
      <x:c r="A128" s="26"/>
      <x:c r="B128" s="26"/>
      <x:c r="C128" s="26"/>
      <x:c r="D128" s="26"/>
      <x:c r="E128" s="26"/>
      <x:c r="F128" s="26"/>
      <x:c r="G128" s="26"/>
      <x:c r="H128" s="26"/>
      <x:c r="I128" s="26"/>
      <x:c r="J128" s="26"/>
      <x:c r="K128" s="26"/>
      <x:c r="L128" s="26"/>
      <x:c r="M128" s="26"/>
      <x:c r="N128" s="26"/>
      <x:c r="O128" s="26"/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6"/>
    </x:row>
    <x:row r="129">
      <x:c r="A129" s="26"/>
      <x:c r="B129" s="26"/>
      <x:c r="C129" s="26"/>
      <x:c r="D129" s="26"/>
      <x:c r="E129" s="26"/>
      <x:c r="F129" s="26"/>
      <x:c r="G129" s="26"/>
      <x:c r="H129" s="26"/>
      <x:c r="I129" s="26"/>
      <x:c r="J129" s="26"/>
      <x:c r="K129" s="26"/>
      <x:c r="L129" s="26"/>
      <x:c r="M129" s="26"/>
      <x:c r="N129" s="26"/>
      <x:c r="O129" s="26"/>
      <x:c r="P129" s="26"/>
      <x:c r="Q129" s="26"/>
      <x:c r="R129" s="26"/>
      <x:c r="S129" s="26"/>
      <x:c r="T129" s="26"/>
      <x:c r="U129" s="26"/>
      <x:c r="V129" s="26"/>
      <x:c r="W129" s="26"/>
      <x:c r="X129" s="26"/>
      <x:c r="Y129" s="26"/>
      <x:c r="Z129" s="26"/>
    </x:row>
    <x:row r="130">
      <x:c r="A130" s="26"/>
      <x:c r="B130" s="26"/>
      <x:c r="C130" s="26"/>
      <x:c r="D130" s="26"/>
      <x:c r="E130" s="26"/>
      <x:c r="F130" s="26"/>
      <x:c r="G130" s="26"/>
      <x:c r="H130" s="26"/>
      <x:c r="I130" s="26"/>
      <x:c r="J130" s="26"/>
      <x:c r="K130" s="26"/>
      <x:c r="L130" s="26"/>
      <x:c r="M130" s="26"/>
      <x:c r="N130" s="26"/>
      <x:c r="O130" s="26"/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/>
      <x:c r="Z130" s="26"/>
    </x:row>
    <x:row r="131">
      <x:c r="A131" s="26"/>
      <x:c r="B131" s="26"/>
      <x:c r="C131" s="26"/>
      <x:c r="D131" s="26"/>
      <x:c r="E131" s="26"/>
      <x:c r="F131" s="26"/>
      <x:c r="G131" s="26"/>
      <x:c r="H131" s="26"/>
      <x:c r="I131" s="26"/>
      <x:c r="J131" s="26"/>
      <x:c r="K131" s="26"/>
      <x:c r="L131" s="26"/>
      <x:c r="M131" s="26"/>
      <x:c r="N131" s="26"/>
      <x:c r="O131" s="26"/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6"/>
    </x:row>
    <x:row r="132">
      <x:c r="A132" s="26"/>
      <x:c r="B132" s="26"/>
      <x:c r="C132" s="26"/>
      <x:c r="D132" s="26"/>
      <x:c r="E132" s="26"/>
      <x:c r="F132" s="26"/>
      <x:c r="G132" s="26"/>
      <x:c r="H132" s="26"/>
      <x:c r="I132" s="26"/>
      <x:c r="J132" s="26"/>
      <x:c r="K132" s="26"/>
      <x:c r="L132" s="26"/>
      <x:c r="M132" s="26"/>
      <x:c r="N132" s="26"/>
      <x:c r="O132" s="26"/>
      <x:c r="P132" s="26"/>
      <x:c r="Q132" s="26"/>
      <x:c r="R132" s="26"/>
      <x:c r="S132" s="26"/>
      <x:c r="T132" s="26"/>
      <x:c r="U132" s="26"/>
      <x:c r="V132" s="26"/>
      <x:c r="W132" s="26"/>
      <x:c r="X132" s="26"/>
      <x:c r="Y132" s="26"/>
      <x:c r="Z132" s="26"/>
    </x:row>
    <x:row r="133">
      <x:c r="A133" s="26"/>
      <x:c r="B133" s="26"/>
      <x:c r="C133" s="26"/>
      <x:c r="D133" s="26"/>
      <x:c r="E133" s="26"/>
      <x:c r="F133" s="26"/>
      <x:c r="G133" s="26"/>
      <x:c r="H133" s="26"/>
      <x:c r="I133" s="26"/>
      <x:c r="J133" s="26"/>
      <x:c r="K133" s="26"/>
      <x:c r="L133" s="26"/>
      <x:c r="M133" s="26"/>
      <x:c r="N133" s="26"/>
      <x:c r="O133" s="26"/>
      <x:c r="P133" s="26"/>
      <x:c r="Q133" s="26"/>
      <x:c r="R133" s="26"/>
      <x:c r="S133" s="26"/>
      <x:c r="T133" s="26"/>
      <x:c r="U133" s="26"/>
      <x:c r="V133" s="26"/>
      <x:c r="W133" s="26"/>
      <x:c r="X133" s="26"/>
      <x:c r="Y133" s="26"/>
      <x:c r="Z133" s="26"/>
    </x:row>
    <x:row r="134">
      <x:c r="A134" s="26"/>
      <x:c r="B134" s="26"/>
      <x:c r="C134" s="26"/>
      <x:c r="D134" s="26"/>
      <x:c r="E134" s="26"/>
      <x:c r="F134" s="26"/>
      <x:c r="G134" s="26"/>
      <x:c r="H134" s="26"/>
      <x:c r="I134" s="26"/>
      <x:c r="J134" s="26"/>
      <x:c r="K134" s="26"/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6"/>
    </x:row>
    <x:row r="135">
      <x:c r="A135" s="26"/>
      <x:c r="B135" s="26"/>
      <x:c r="C135" s="26"/>
      <x:c r="D135" s="26"/>
      <x:c r="E135" s="26"/>
      <x:c r="F135" s="26"/>
      <x:c r="G135" s="26"/>
      <x:c r="H135" s="26"/>
      <x:c r="I135" s="26"/>
      <x:c r="J135" s="26"/>
      <x:c r="K135" s="26"/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</x:row>
    <x:row r="136">
      <x:c r="A136" s="26"/>
      <x:c r="B136" s="26"/>
      <x:c r="C136" s="26"/>
      <x:c r="D136" s="26"/>
      <x:c r="E136" s="26"/>
      <x:c r="F136" s="26"/>
      <x:c r="G136" s="26"/>
      <x:c r="H136" s="26"/>
      <x:c r="I136" s="26"/>
      <x:c r="J136" s="26"/>
      <x:c r="K136" s="26"/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</x:row>
    <x:row r="137">
      <x:c r="A137" s="26"/>
      <x:c r="B137" s="26"/>
      <x:c r="C137" s="26"/>
      <x:c r="D137" s="26"/>
      <x:c r="E137" s="26"/>
      <x:c r="F137" s="26"/>
      <x:c r="G137" s="26"/>
      <x:c r="H137" s="26"/>
      <x:c r="I137" s="26"/>
      <x:c r="J137" s="26"/>
      <x:c r="K137" s="26"/>
      <x:c r="L137" s="26"/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</x:row>
    <x:row r="138">
      <x:c r="A138" s="26"/>
      <x:c r="B138" s="26"/>
      <x:c r="C138" s="26"/>
      <x:c r="D138" s="26"/>
      <x:c r="E138" s="26"/>
      <x:c r="F138" s="26"/>
      <x:c r="G138" s="26"/>
      <x:c r="H138" s="26"/>
      <x:c r="I138" s="26"/>
      <x:c r="J138" s="26"/>
      <x:c r="K138" s="26"/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</x:row>
    <x:row r="139">
      <x:c r="A139" s="26"/>
      <x:c r="B139" s="26"/>
      <x:c r="C139" s="26"/>
      <x:c r="D139" s="26"/>
      <x:c r="E139" s="26"/>
      <x:c r="F139" s="26"/>
      <x:c r="G139" s="26"/>
      <x:c r="H139" s="26"/>
      <x:c r="I139" s="26"/>
      <x:c r="J139" s="26"/>
      <x:c r="K139" s="26"/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</x:row>
    <x:row r="140">
      <x:c r="A140" s="26"/>
      <x:c r="B140" s="26"/>
      <x:c r="C140" s="26"/>
      <x:c r="D140" s="26"/>
      <x:c r="E140" s="26"/>
      <x:c r="F140" s="26"/>
      <x:c r="G140" s="26"/>
      <x:c r="H140" s="26"/>
      <x:c r="I140" s="26"/>
      <x:c r="J140" s="26"/>
      <x:c r="K140" s="26"/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</x:row>
    <x:row r="141">
      <x:c r="A141" s="26"/>
      <x:c r="B141" s="26"/>
      <x:c r="C141" s="26"/>
      <x:c r="D141" s="26"/>
      <x:c r="E141" s="26"/>
      <x:c r="F141" s="26"/>
      <x:c r="G141" s="26"/>
      <x:c r="H141" s="26"/>
      <x:c r="I141" s="26"/>
      <x:c r="J141" s="26"/>
      <x:c r="K141" s="26"/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</x:row>
    <x:row r="142">
      <x:c r="A142" s="26"/>
      <x:c r="B142" s="26"/>
      <x:c r="C142" s="26"/>
      <x:c r="D142" s="26"/>
      <x:c r="E142" s="26"/>
      <x:c r="F142" s="26"/>
      <x:c r="G142" s="26"/>
      <x:c r="H142" s="26"/>
      <x:c r="I142" s="26"/>
      <x:c r="J142" s="26"/>
      <x:c r="K142" s="26"/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/>
      <x:c r="Z142" s="26"/>
    </x:row>
    <x:row r="143">
      <x:c r="A143" s="26"/>
      <x:c r="B143" s="26"/>
      <x:c r="C143" s="26"/>
      <x:c r="D143" s="26"/>
      <x:c r="E143" s="26"/>
      <x:c r="F143" s="26"/>
      <x:c r="G143" s="26"/>
      <x:c r="H143" s="26"/>
      <x:c r="I143" s="26"/>
      <x:c r="J143" s="26"/>
      <x:c r="K143" s="26"/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</x:row>
    <x:row r="144">
      <x:c r="A144" s="26"/>
      <x:c r="B144" s="26"/>
      <x:c r="C144" s="26"/>
      <x:c r="D144" s="26"/>
      <x:c r="E144" s="26"/>
      <x:c r="F144" s="26"/>
      <x:c r="G144" s="26"/>
      <x:c r="H144" s="26"/>
      <x:c r="I144" s="26"/>
      <x:c r="J144" s="26"/>
      <x:c r="K144" s="26"/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</x:row>
    <x:row r="145">
      <x:c r="A145" s="26"/>
      <x:c r="B145" s="26"/>
      <x:c r="C145" s="26"/>
      <x:c r="D145" s="26"/>
      <x:c r="E145" s="26"/>
      <x:c r="F145" s="26"/>
      <x:c r="G145" s="26"/>
      <x:c r="H145" s="26"/>
      <x:c r="I145" s="26"/>
      <x:c r="J145" s="26"/>
      <x:c r="K145" s="26"/>
      <x:c r="L145" s="26"/>
      <x:c r="M145" s="26"/>
      <x:c r="N145" s="26"/>
      <x:c r="O145" s="26"/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6"/>
    </x:row>
    <x:row r="146">
      <x:c r="A146" s="26"/>
      <x:c r="B146" s="26"/>
      <x:c r="C146" s="26"/>
      <x:c r="D146" s="26"/>
      <x:c r="E146" s="26"/>
      <x:c r="F146" s="26"/>
      <x:c r="G146" s="26"/>
      <x:c r="H146" s="26"/>
      <x:c r="I146" s="26"/>
      <x:c r="J146" s="26"/>
      <x:c r="K146" s="26"/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6"/>
    </x:row>
    <x:row r="147">
      <x:c r="A147" s="26"/>
      <x:c r="B147" s="26"/>
      <x:c r="C147" s="26"/>
      <x:c r="D147" s="26"/>
      <x:c r="E147" s="26"/>
      <x:c r="F147" s="26"/>
      <x:c r="G147" s="26"/>
      <x:c r="H147" s="26"/>
      <x:c r="I147" s="26"/>
      <x:c r="J147" s="26"/>
      <x:c r="K147" s="26"/>
      <x:c r="L147" s="26"/>
      <x:c r="M147" s="26"/>
      <x:c r="N147" s="26"/>
      <x:c r="O147" s="26"/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6"/>
    </x:row>
    <x:row r="148">
      <x:c r="A148" s="26"/>
      <x:c r="B148" s="26"/>
      <x:c r="C148" s="26"/>
      <x:c r="D148" s="26"/>
      <x:c r="E148" s="26"/>
      <x:c r="F148" s="26"/>
      <x:c r="G148" s="26"/>
      <x:c r="H148" s="26"/>
      <x:c r="I148" s="26"/>
      <x:c r="J148" s="26"/>
      <x:c r="K148" s="26"/>
      <x:c r="L148" s="26"/>
      <x:c r="M148" s="26"/>
      <x:c r="N148" s="26"/>
      <x:c r="O148" s="26"/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6"/>
    </x:row>
    <x:row r="149">
      <x:c r="A149" s="26"/>
      <x:c r="B149" s="26"/>
      <x:c r="C149" s="26"/>
      <x:c r="D149" s="26"/>
      <x:c r="E149" s="26"/>
      <x:c r="F149" s="26"/>
      <x:c r="G149" s="26"/>
      <x:c r="H149" s="26"/>
      <x:c r="I149" s="26"/>
      <x:c r="J149" s="26"/>
      <x:c r="K149" s="26"/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6"/>
    </x:row>
    <x:row r="150">
      <x:c r="A150" s="26"/>
      <x:c r="B150" s="26"/>
      <x:c r="C150" s="26"/>
      <x:c r="D150" s="26"/>
      <x:c r="E150" s="26"/>
      <x:c r="F150" s="26"/>
      <x:c r="G150" s="26"/>
      <x:c r="H150" s="26"/>
      <x:c r="I150" s="26"/>
      <x:c r="J150" s="26"/>
      <x:c r="K150" s="26"/>
      <x:c r="L150" s="26"/>
      <x:c r="M150" s="26"/>
      <x:c r="N150" s="26"/>
      <x:c r="O150" s="26"/>
      <x:c r="P150" s="26"/>
      <x:c r="Q150" s="26"/>
      <x:c r="R150" s="26"/>
      <x:c r="S150" s="26"/>
      <x:c r="T150" s="26"/>
      <x:c r="U150" s="26"/>
      <x:c r="V150" s="26"/>
      <x:c r="W150" s="26"/>
      <x:c r="X150" s="26"/>
      <x:c r="Y150" s="26"/>
      <x:c r="Z150" s="26"/>
    </x:row>
    <x:row r="151">
      <x:c r="A151" s="26"/>
      <x:c r="B151" s="26"/>
      <x:c r="C151" s="26"/>
      <x:c r="D151" s="26"/>
      <x:c r="E151" s="26"/>
      <x:c r="F151" s="26"/>
      <x:c r="G151" s="26"/>
      <x:c r="H151" s="26"/>
      <x:c r="I151" s="26"/>
      <x:c r="J151" s="26"/>
      <x:c r="K151" s="26"/>
      <x:c r="L151" s="26"/>
      <x:c r="M151" s="26"/>
      <x:c r="N151" s="26"/>
      <x:c r="O151" s="26"/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/>
      <x:c r="Z151" s="26"/>
    </x:row>
    <x:row r="152">
      <x:c r="A152" s="26"/>
      <x:c r="B152" s="26"/>
      <x:c r="C152" s="26"/>
      <x:c r="D152" s="26"/>
      <x:c r="E152" s="26"/>
      <x:c r="F152" s="26"/>
      <x:c r="G152" s="26"/>
      <x:c r="H152" s="26"/>
      <x:c r="I152" s="26"/>
      <x:c r="J152" s="26"/>
      <x:c r="K152" s="26"/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/>
      <x:c r="W152" s="26"/>
      <x:c r="X152" s="26"/>
      <x:c r="Y152" s="26"/>
      <x:c r="Z152" s="26"/>
    </x:row>
    <x:row r="153">
      <x:c r="A153" s="26"/>
      <x:c r="B153" s="26"/>
      <x:c r="C153" s="26"/>
      <x:c r="D153" s="26"/>
      <x:c r="E153" s="26"/>
      <x:c r="F153" s="26"/>
      <x:c r="G153" s="26"/>
      <x:c r="H153" s="26"/>
      <x:c r="I153" s="26"/>
      <x:c r="J153" s="26"/>
      <x:c r="K153" s="26"/>
      <x:c r="L153" s="26"/>
      <x:c r="M153" s="26"/>
      <x:c r="N153" s="26"/>
      <x:c r="O153" s="26"/>
      <x:c r="P153" s="26"/>
      <x:c r="Q153" s="26"/>
      <x:c r="R153" s="26"/>
      <x:c r="S153" s="26"/>
      <x:c r="T153" s="26"/>
      <x:c r="U153" s="26"/>
      <x:c r="V153" s="26"/>
      <x:c r="W153" s="26"/>
      <x:c r="X153" s="26"/>
      <x:c r="Y153" s="26"/>
      <x:c r="Z153" s="26"/>
    </x:row>
    <x:row r="154">
      <x:c r="A154" s="26"/>
      <x:c r="B154" s="26"/>
      <x:c r="C154" s="26"/>
      <x:c r="D154" s="26"/>
      <x:c r="E154" s="26"/>
      <x:c r="F154" s="26"/>
      <x:c r="G154" s="26"/>
      <x:c r="H154" s="26"/>
      <x:c r="I154" s="26"/>
      <x:c r="J154" s="26"/>
      <x:c r="K154" s="26"/>
      <x:c r="L154" s="26"/>
      <x:c r="M154" s="26"/>
      <x:c r="N154" s="26"/>
      <x:c r="O154" s="26"/>
      <x:c r="P154" s="26"/>
      <x:c r="Q154" s="26"/>
      <x:c r="R154" s="26"/>
      <x:c r="S154" s="26"/>
      <x:c r="T154" s="26"/>
      <x:c r="U154" s="26"/>
      <x:c r="V154" s="26"/>
      <x:c r="W154" s="26"/>
      <x:c r="X154" s="26"/>
      <x:c r="Y154" s="26"/>
      <x:c r="Z154" s="26"/>
    </x:row>
    <x:row r="155">
      <x:c r="A155" s="26"/>
      <x:c r="B155" s="26"/>
      <x:c r="C155" s="26"/>
      <x:c r="D155" s="26"/>
      <x:c r="E155" s="26"/>
      <x:c r="F155" s="26"/>
      <x:c r="G155" s="26"/>
      <x:c r="H155" s="26"/>
      <x:c r="I155" s="26"/>
      <x:c r="J155" s="26"/>
      <x:c r="K155" s="26"/>
      <x:c r="L155" s="26"/>
      <x:c r="M155" s="26"/>
      <x:c r="N155" s="26"/>
      <x:c r="O155" s="26"/>
      <x:c r="P155" s="26"/>
      <x:c r="Q155" s="26"/>
      <x:c r="R155" s="26"/>
      <x:c r="S155" s="26"/>
      <x:c r="T155" s="26"/>
      <x:c r="U155" s="26"/>
      <x:c r="V155" s="26"/>
      <x:c r="W155" s="26"/>
      <x:c r="X155" s="26"/>
      <x:c r="Y155" s="26"/>
      <x:c r="Z155" s="26"/>
    </x:row>
    <x:row r="156">
      <x:c r="A156" s="26"/>
      <x:c r="B156" s="26"/>
      <x:c r="C156" s="26"/>
      <x:c r="D156" s="26"/>
      <x:c r="E156" s="26"/>
      <x:c r="F156" s="26"/>
      <x:c r="G156" s="26"/>
      <x:c r="H156" s="26"/>
      <x:c r="I156" s="26"/>
      <x:c r="J156" s="26"/>
      <x:c r="K156" s="26"/>
      <x:c r="L156" s="26"/>
      <x:c r="M156" s="26"/>
      <x:c r="N156" s="26"/>
      <x:c r="O156" s="26"/>
      <x:c r="P156" s="26"/>
      <x:c r="Q156" s="26"/>
      <x:c r="R156" s="26"/>
      <x:c r="S156" s="26"/>
      <x:c r="T156" s="26"/>
      <x:c r="U156" s="26"/>
      <x:c r="V156" s="26"/>
      <x:c r="W156" s="26"/>
      <x:c r="X156" s="26"/>
      <x:c r="Y156" s="26"/>
      <x:c r="Z156" s="26"/>
    </x:row>
    <x:row r="157">
      <x:c r="A157" s="26"/>
      <x:c r="B157" s="26"/>
      <x:c r="C157" s="26"/>
      <x:c r="D157" s="26"/>
      <x:c r="E157" s="26"/>
      <x:c r="F157" s="26"/>
      <x:c r="G157" s="26"/>
      <x:c r="H157" s="26"/>
      <x:c r="I157" s="26"/>
      <x:c r="J157" s="26"/>
      <x:c r="K157" s="26"/>
      <x:c r="L157" s="26"/>
      <x:c r="M157" s="26"/>
      <x:c r="N157" s="26"/>
      <x:c r="O157" s="26"/>
      <x:c r="P157" s="26"/>
      <x:c r="Q157" s="26"/>
      <x:c r="R157" s="26"/>
      <x:c r="S157" s="26"/>
      <x:c r="T157" s="26"/>
      <x:c r="U157" s="26"/>
      <x:c r="V157" s="26"/>
      <x:c r="W157" s="26"/>
      <x:c r="X157" s="26"/>
      <x:c r="Y157" s="26"/>
      <x:c r="Z157" s="26"/>
    </x:row>
    <x:row r="158">
      <x:c r="A158" s="26"/>
      <x:c r="B158" s="26"/>
      <x:c r="C158" s="26"/>
      <x:c r="D158" s="26"/>
      <x:c r="E158" s="26"/>
      <x:c r="F158" s="26"/>
      <x:c r="G158" s="26"/>
      <x:c r="H158" s="26"/>
      <x:c r="I158" s="26"/>
      <x:c r="J158" s="26"/>
      <x:c r="K158" s="26"/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</x:row>
    <x:row r="159">
      <x:c r="A159" s="26"/>
      <x:c r="B159" s="26"/>
      <x:c r="C159" s="26"/>
      <x:c r="D159" s="26"/>
      <x:c r="E159" s="26"/>
      <x:c r="F159" s="26"/>
      <x:c r="G159" s="26"/>
      <x:c r="H159" s="26"/>
      <x:c r="I159" s="26"/>
      <x:c r="J159" s="26"/>
      <x:c r="K159" s="26"/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</x:row>
    <x:row r="160">
      <x:c r="A160" s="26"/>
      <x:c r="B160" s="26"/>
      <x:c r="C160" s="26"/>
      <x:c r="D160" s="26"/>
      <x:c r="E160" s="26"/>
      <x:c r="F160" s="26"/>
      <x:c r="G160" s="26"/>
      <x:c r="H160" s="26"/>
      <x:c r="I160" s="26"/>
      <x:c r="J160" s="26"/>
      <x:c r="K160" s="26"/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</x:row>
    <x:row r="161">
      <x:c r="A161" s="26"/>
      <x:c r="B161" s="26"/>
      <x:c r="C161" s="26"/>
      <x:c r="D161" s="26"/>
      <x:c r="E161" s="26"/>
      <x:c r="F161" s="26"/>
      <x:c r="G161" s="26"/>
      <x:c r="H161" s="26"/>
      <x:c r="I161" s="26"/>
      <x:c r="J161" s="26"/>
      <x:c r="K161" s="26"/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</x:row>
    <x:row r="162">
      <x:c r="A162" s="26"/>
      <x:c r="B162" s="26"/>
      <x:c r="C162" s="26"/>
      <x:c r="D162" s="26"/>
      <x:c r="E162" s="26"/>
      <x:c r="F162" s="26"/>
      <x:c r="G162" s="26"/>
      <x:c r="H162" s="26"/>
      <x:c r="I162" s="26"/>
      <x:c r="J162" s="26"/>
      <x:c r="K162" s="26"/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</x:row>
    <x:row r="163">
      <x:c r="A163" s="26"/>
      <x:c r="B163" s="26"/>
      <x:c r="C163" s="26"/>
      <x:c r="D163" s="26"/>
      <x:c r="E163" s="26"/>
      <x:c r="F163" s="26"/>
      <x:c r="G163" s="26"/>
      <x:c r="H163" s="26"/>
      <x:c r="I163" s="26"/>
      <x:c r="J163" s="26"/>
      <x:c r="K163" s="26"/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</x:row>
    <x:row r="164">
      <x:c r="A164" s="26"/>
      <x:c r="B164" s="26"/>
      <x:c r="C164" s="26"/>
      <x:c r="D164" s="26"/>
      <x:c r="E164" s="26"/>
      <x:c r="F164" s="26"/>
      <x:c r="G164" s="26"/>
      <x:c r="H164" s="26"/>
      <x:c r="I164" s="26"/>
      <x:c r="J164" s="26"/>
      <x:c r="K164" s="26"/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</x:row>
    <x:row r="165">
      <x:c r="A165" s="26"/>
      <x:c r="B165" s="26"/>
      <x:c r="C165" s="26"/>
      <x:c r="D165" s="26"/>
      <x:c r="E165" s="26"/>
      <x:c r="F165" s="26"/>
      <x:c r="G165" s="26"/>
      <x:c r="H165" s="26"/>
      <x:c r="I165" s="26"/>
      <x:c r="J165" s="26"/>
      <x:c r="K165" s="26"/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</x:row>
    <x:row r="166">
      <x:c r="A166" s="26"/>
      <x:c r="B166" s="26"/>
      <x:c r="C166" s="26"/>
      <x:c r="D166" s="26"/>
      <x:c r="E166" s="26"/>
      <x:c r="F166" s="26"/>
      <x:c r="G166" s="26"/>
      <x:c r="H166" s="26"/>
      <x:c r="I166" s="26"/>
      <x:c r="J166" s="26"/>
      <x:c r="K166" s="26"/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</x:row>
    <x:row r="167">
      <x:c r="A167" s="26"/>
      <x:c r="B167" s="26"/>
      <x:c r="C167" s="26"/>
      <x:c r="D167" s="26"/>
      <x:c r="E167" s="26"/>
      <x:c r="F167" s="26"/>
      <x:c r="G167" s="26"/>
      <x:c r="H167" s="26"/>
      <x:c r="I167" s="26"/>
      <x:c r="J167" s="26"/>
      <x:c r="K167" s="26"/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</x:row>
    <x:row r="168">
      <x:c r="A168" s="26"/>
      <x:c r="B168" s="26"/>
      <x:c r="C168" s="26"/>
      <x:c r="D168" s="26"/>
      <x:c r="E168" s="26"/>
      <x:c r="F168" s="26"/>
      <x:c r="G168" s="26"/>
      <x:c r="H168" s="26"/>
      <x:c r="I168" s="26"/>
      <x:c r="J168" s="26"/>
      <x:c r="K168" s="26"/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</x:row>
    <x:row r="169">
      <x:c r="A169" s="26"/>
      <x:c r="B169" s="26"/>
      <x:c r="C169" s="26"/>
      <x:c r="D169" s="26"/>
      <x:c r="E169" s="26"/>
      <x:c r="F169" s="26"/>
      <x:c r="G169" s="26"/>
      <x:c r="H169" s="26"/>
      <x:c r="I169" s="26"/>
      <x:c r="J169" s="26"/>
      <x:c r="K169" s="26"/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</x:row>
    <x:row r="170">
      <x:c r="A170" s="26"/>
      <x:c r="B170" s="26"/>
      <x:c r="C170" s="26"/>
      <x:c r="D170" s="26"/>
      <x:c r="E170" s="26"/>
      <x:c r="F170" s="26"/>
      <x:c r="G170" s="26"/>
      <x:c r="H170" s="26"/>
      <x:c r="I170" s="26"/>
      <x:c r="J170" s="26"/>
      <x:c r="K170" s="26"/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</x:row>
    <x:row r="171">
      <x:c r="A171" s="26"/>
      <x:c r="B171" s="26"/>
      <x:c r="C171" s="26"/>
      <x:c r="D171" s="26"/>
      <x:c r="E171" s="26"/>
      <x:c r="F171" s="26"/>
      <x:c r="G171" s="26"/>
      <x:c r="H171" s="26"/>
      <x:c r="I171" s="26"/>
      <x:c r="J171" s="26"/>
      <x:c r="K171" s="26"/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</x:row>
    <x:row r="172">
      <x:c r="A172" s="26"/>
      <x:c r="B172" s="26"/>
      <x:c r="C172" s="26"/>
      <x:c r="D172" s="26"/>
      <x:c r="E172" s="26"/>
      <x:c r="F172" s="26"/>
      <x:c r="G172" s="26"/>
      <x:c r="H172" s="26"/>
      <x:c r="I172" s="26"/>
      <x:c r="J172" s="26"/>
      <x:c r="K172" s="26"/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</x:row>
    <x:row r="173">
      <x:c r="A173" s="26"/>
      <x:c r="B173" s="26"/>
      <x:c r="C173" s="26"/>
      <x:c r="D173" s="26"/>
      <x:c r="E173" s="26"/>
      <x:c r="F173" s="26"/>
      <x:c r="G173" s="26"/>
      <x:c r="H173" s="26"/>
      <x:c r="I173" s="26"/>
      <x:c r="J173" s="26"/>
      <x:c r="K173" s="26"/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</x:row>
    <x:row r="174">
      <x:c r="A174" s="26"/>
      <x:c r="B174" s="26"/>
      <x:c r="C174" s="26"/>
      <x:c r="D174" s="26"/>
      <x:c r="E174" s="26"/>
      <x:c r="F174" s="26"/>
      <x:c r="G174" s="26"/>
      <x:c r="H174" s="26"/>
      <x:c r="I174" s="26"/>
      <x:c r="J174" s="26"/>
      <x:c r="K174" s="26"/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</x:row>
    <x:row r="175">
      <x:c r="A175" s="26"/>
      <x:c r="B175" s="26"/>
      <x:c r="C175" s="26"/>
      <x:c r="D175" s="26"/>
      <x:c r="E175" s="26"/>
      <x:c r="F175" s="26"/>
      <x:c r="G175" s="26"/>
      <x:c r="H175" s="26"/>
      <x:c r="I175" s="26"/>
      <x:c r="J175" s="26"/>
      <x:c r="K175" s="26"/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</x:row>
    <x:row r="176">
      <x:c r="A176" s="26"/>
      <x:c r="B176" s="26"/>
      <x:c r="C176" s="26"/>
      <x:c r="D176" s="26"/>
      <x:c r="E176" s="26"/>
      <x:c r="F176" s="26"/>
      <x:c r="G176" s="26"/>
      <x:c r="H176" s="26"/>
      <x:c r="I176" s="26"/>
      <x:c r="J176" s="26"/>
      <x:c r="K176" s="26"/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</x:row>
    <x:row r="177">
      <x:c r="A177" s="26"/>
      <x:c r="B177" s="26"/>
      <x:c r="C177" s="26"/>
      <x:c r="D177" s="26"/>
      <x:c r="E177" s="26"/>
      <x:c r="F177" s="26"/>
      <x:c r="G177" s="26"/>
      <x:c r="H177" s="26"/>
      <x:c r="I177" s="26"/>
      <x:c r="J177" s="26"/>
      <x:c r="K177" s="26"/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</x:row>
    <x:row r="178">
      <x:c r="A178" s="26"/>
      <x:c r="B178" s="26"/>
      <x:c r="C178" s="26"/>
      <x:c r="D178" s="26"/>
      <x:c r="E178" s="26"/>
      <x:c r="F178" s="26"/>
      <x:c r="G178" s="26"/>
      <x:c r="H178" s="26"/>
      <x:c r="I178" s="26"/>
      <x:c r="J178" s="26"/>
      <x:c r="K178" s="26"/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</x:row>
    <x:row r="179">
      <x:c r="A179" s="26"/>
      <x:c r="B179" s="26"/>
      <x:c r="C179" s="26"/>
      <x:c r="D179" s="26"/>
      <x:c r="E179" s="26"/>
      <x:c r="F179" s="26"/>
      <x:c r="G179" s="26"/>
      <x:c r="H179" s="26"/>
      <x:c r="I179" s="26"/>
      <x:c r="J179" s="26"/>
      <x:c r="K179" s="26"/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</x:row>
    <x:row r="180">
      <x:c r="A180" s="26"/>
      <x:c r="B180" s="26"/>
      <x:c r="C180" s="26"/>
      <x:c r="D180" s="26"/>
      <x:c r="E180" s="26"/>
      <x:c r="F180" s="26"/>
      <x:c r="G180" s="26"/>
      <x:c r="H180" s="26"/>
      <x:c r="I180" s="26"/>
      <x:c r="J180" s="26"/>
      <x:c r="K180" s="26"/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</x:row>
    <x:row r="181">
      <x:c r="A181" s="26"/>
      <x:c r="B181" s="26"/>
      <x:c r="C181" s="26"/>
      <x:c r="D181" s="26"/>
      <x:c r="E181" s="26"/>
      <x:c r="F181" s="26"/>
      <x:c r="G181" s="26"/>
      <x:c r="H181" s="26"/>
      <x:c r="I181" s="26"/>
      <x:c r="J181" s="26"/>
      <x:c r="K181" s="26"/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</x:row>
    <x:row r="182">
      <x:c r="A182" s="26"/>
      <x:c r="B182" s="26"/>
      <x:c r="C182" s="26"/>
      <x:c r="D182" s="26"/>
      <x:c r="E182" s="26"/>
      <x:c r="F182" s="26"/>
      <x:c r="G182" s="26"/>
      <x:c r="H182" s="26"/>
      <x:c r="I182" s="26"/>
      <x:c r="J182" s="26"/>
      <x:c r="K182" s="26"/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</x:row>
    <x:row r="183">
      <x:c r="A183" s="26"/>
      <x:c r="B183" s="26"/>
      <x:c r="C183" s="26"/>
      <x:c r="D183" s="26"/>
      <x:c r="E183" s="26"/>
      <x:c r="F183" s="26"/>
      <x:c r="G183" s="26"/>
      <x:c r="H183" s="26"/>
      <x:c r="I183" s="26"/>
      <x:c r="J183" s="26"/>
      <x:c r="K183" s="26"/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</x:row>
    <x:row r="184">
      <x:c r="A184" s="26"/>
      <x:c r="B184" s="26"/>
      <x:c r="C184" s="26"/>
      <x:c r="D184" s="26"/>
      <x:c r="E184" s="26"/>
      <x:c r="F184" s="26"/>
      <x:c r="G184" s="26"/>
      <x:c r="H184" s="26"/>
      <x:c r="I184" s="26"/>
      <x:c r="J184" s="26"/>
      <x:c r="K184" s="26"/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</x:row>
    <x:row r="185">
      <x:c r="A185" s="26"/>
      <x:c r="B185" s="26"/>
      <x:c r="C185" s="26"/>
      <x:c r="D185" s="26"/>
      <x:c r="E185" s="26"/>
      <x:c r="F185" s="26"/>
      <x:c r="G185" s="26"/>
      <x:c r="H185" s="26"/>
      <x:c r="I185" s="26"/>
      <x:c r="J185" s="26"/>
      <x:c r="K185" s="26"/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</x:row>
    <x:row r="186">
      <x:c r="A186" s="26"/>
      <x:c r="B186" s="26"/>
      <x:c r="C186" s="26"/>
      <x:c r="D186" s="26"/>
      <x:c r="E186" s="26"/>
      <x:c r="F186" s="26"/>
      <x:c r="G186" s="26"/>
      <x:c r="H186" s="26"/>
      <x:c r="I186" s="26"/>
      <x:c r="J186" s="26"/>
      <x:c r="K186" s="26"/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</x:row>
    <x:row r="187">
      <x:c r="A187" s="26"/>
      <x:c r="B187" s="26"/>
      <x:c r="C187" s="26"/>
      <x:c r="D187" s="26"/>
      <x:c r="E187" s="26"/>
      <x:c r="F187" s="26"/>
      <x:c r="G187" s="26"/>
      <x:c r="H187" s="26"/>
      <x:c r="I187" s="26"/>
      <x:c r="J187" s="26"/>
      <x:c r="K187" s="26"/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</x:row>
    <x:row r="188">
      <x:c r="A188" s="26"/>
      <x:c r="B188" s="26"/>
      <x:c r="C188" s="26"/>
      <x:c r="D188" s="26"/>
      <x:c r="E188" s="26"/>
      <x:c r="F188" s="26"/>
      <x:c r="G188" s="26"/>
      <x:c r="H188" s="26"/>
      <x:c r="I188" s="26"/>
      <x:c r="J188" s="26"/>
      <x:c r="K188" s="26"/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</x:row>
    <x:row r="189">
      <x:c r="A189" s="26"/>
      <x:c r="B189" s="26"/>
      <x:c r="C189" s="26"/>
      <x:c r="D189" s="26"/>
      <x:c r="E189" s="26"/>
      <x:c r="F189" s="26"/>
      <x:c r="G189" s="26"/>
      <x:c r="H189" s="26"/>
      <x:c r="I189" s="26"/>
      <x:c r="J189" s="26"/>
      <x:c r="K189" s="26"/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</x:row>
    <x:row r="190">
      <x:c r="A190" s="26"/>
      <x:c r="B190" s="26"/>
      <x:c r="C190" s="26"/>
      <x:c r="D190" s="26"/>
      <x:c r="E190" s="26"/>
      <x:c r="F190" s="26"/>
      <x:c r="G190" s="26"/>
      <x:c r="H190" s="26"/>
      <x:c r="I190" s="26"/>
      <x:c r="J190" s="26"/>
      <x:c r="K190" s="26"/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</x:row>
    <x:row r="191">
      <x:c r="A191" s="26"/>
      <x:c r="B191" s="26"/>
      <x:c r="C191" s="26"/>
      <x:c r="D191" s="26"/>
      <x:c r="E191" s="26"/>
      <x:c r="F191" s="26"/>
      <x:c r="G191" s="26"/>
      <x:c r="H191" s="26"/>
      <x:c r="I191" s="26"/>
      <x:c r="J191" s="26"/>
      <x:c r="K191" s="26"/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</x:row>
    <x:row r="192">
      <x:c r="A192" s="26"/>
      <x:c r="B192" s="26"/>
      <x:c r="C192" s="26"/>
      <x:c r="D192" s="26"/>
      <x:c r="E192" s="26"/>
      <x:c r="F192" s="26"/>
      <x:c r="G192" s="26"/>
      <x:c r="H192" s="26"/>
      <x:c r="I192" s="26"/>
      <x:c r="J192" s="26"/>
      <x:c r="K192" s="26"/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</x:row>
    <x:row r="193">
      <x:c r="A193" s="26"/>
      <x:c r="B193" s="26"/>
      <x:c r="C193" s="26"/>
      <x:c r="D193" s="26"/>
      <x:c r="E193" s="26"/>
      <x:c r="F193" s="26"/>
      <x:c r="G193" s="26"/>
      <x:c r="H193" s="26"/>
      <x:c r="I193" s="26"/>
      <x:c r="J193" s="26"/>
      <x:c r="K193" s="26"/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</x:row>
    <x:row r="194">
      <x:c r="A194" s="26"/>
      <x:c r="B194" s="26"/>
      <x:c r="C194" s="26"/>
      <x:c r="D194" s="26"/>
      <x:c r="E194" s="26"/>
      <x:c r="F194" s="26"/>
      <x:c r="G194" s="26"/>
      <x:c r="H194" s="26"/>
      <x:c r="I194" s="26"/>
      <x:c r="J194" s="26"/>
      <x:c r="K194" s="26"/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</x:row>
    <x:row r="195">
      <x:c r="A195" s="26"/>
      <x:c r="B195" s="26"/>
      <x:c r="C195" s="26"/>
      <x:c r="D195" s="26"/>
      <x:c r="E195" s="26"/>
      <x:c r="F195" s="26"/>
      <x:c r="G195" s="26"/>
      <x:c r="H195" s="26"/>
      <x:c r="I195" s="26"/>
      <x:c r="J195" s="26"/>
      <x:c r="K195" s="26"/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</x:row>
    <x:row r="196">
      <x:c r="A196" s="26"/>
      <x:c r="B196" s="26"/>
      <x:c r="C196" s="26"/>
      <x:c r="D196" s="26"/>
      <x:c r="E196" s="26"/>
      <x:c r="F196" s="26"/>
      <x:c r="G196" s="26"/>
      <x:c r="H196" s="26"/>
      <x:c r="I196" s="26"/>
      <x:c r="J196" s="26"/>
      <x:c r="K196" s="26"/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</x:row>
    <x:row r="197">
      <x:c r="A197" s="26"/>
      <x:c r="B197" s="26"/>
      <x:c r="C197" s="26"/>
      <x:c r="D197" s="26"/>
      <x:c r="E197" s="26"/>
      <x:c r="F197" s="26"/>
      <x:c r="G197" s="26"/>
      <x:c r="H197" s="26"/>
      <x:c r="I197" s="26"/>
      <x:c r="J197" s="26"/>
      <x:c r="K197" s="26"/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</x:row>
    <x:row r="198">
      <x:c r="A198" s="26"/>
      <x:c r="B198" s="26"/>
      <x:c r="C198" s="26"/>
      <x:c r="D198" s="26"/>
      <x:c r="E198" s="26"/>
      <x:c r="F198" s="26"/>
      <x:c r="G198" s="26"/>
      <x:c r="H198" s="26"/>
      <x:c r="I198" s="26"/>
      <x:c r="J198" s="26"/>
      <x:c r="K198" s="26"/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</x:row>
    <x:row r="199">
      <x:c r="A199" s="26"/>
      <x:c r="B199" s="26"/>
      <x:c r="C199" s="26"/>
      <x:c r="D199" s="26"/>
      <x:c r="E199" s="26"/>
      <x:c r="F199" s="26"/>
      <x:c r="G199" s="26"/>
      <x:c r="H199" s="26"/>
      <x:c r="I199" s="26"/>
      <x:c r="J199" s="26"/>
      <x:c r="K199" s="26"/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</x:row>
    <x:row r="200">
      <x:c r="A200" s="26"/>
      <x:c r="B200" s="26"/>
      <x:c r="C200" s="26"/>
      <x:c r="D200" s="26"/>
      <x:c r="E200" s="26"/>
      <x:c r="F200" s="26"/>
      <x:c r="G200" s="26"/>
      <x:c r="H200" s="26"/>
      <x:c r="I200" s="26"/>
      <x:c r="J200" s="26"/>
      <x:c r="K200" s="26"/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</x:row>
  </x:sheetData>
  <x:mergeCells>
    <x:mergeCell ref="A1:O1"/>
  </x:mergeCells>
  <x:pageMargins left="0.7" right="0.7" top="0.75" bottom="0.75" header="0.3" footer="0.3"/>
  <x:tableParts count="1">
    <x:tablePart xmlns:r="http://schemas.openxmlformats.org/officeDocument/2006/relationships" r:id="Rabd9d73dcf59482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24" hidden="0" customWidth="1"/>
    <x:col min="4" max="4" width="24" hidden="0" customWidth="1"/>
    <x:col min="5" max="5" width="38" hidden="0" customWidth="1"/>
  </x:cols>
  <x:sheetData>
    <x:row r="1" ht="28" customHeight="1">
      <x:c r="A1" s="50" t="str">
        <x:v>Unit Economics Summary</x:v>
      </x:c>
      <x:c r="B1" s="50"/>
      <x:c r="C1" s="50"/>
      <x:c r="D1" s="50"/>
      <x:c r="E1" s="50"/>
      <x:c r="F1" s="26"/>
      <x:c r="G1" s="26"/>
      <x:c r="H1" s="26"/>
      <x:c r="I1" s="26"/>
      <x:c r="J1" s="26"/>
      <x:c r="K1" s="26"/>
      <x:c r="L1" s="26"/>
      <x:c r="M1" s="26"/>
      <x:c r="N1" s="26"/>
      <x:c r="O1" s="26"/>
      <x:c r="P1" s="26"/>
      <x:c r="Q1" s="26"/>
      <x:c r="R1" s="26"/>
      <x:c r="S1" s="26"/>
      <x:c r="T1" s="26"/>
      <x:c r="U1" s="26"/>
      <x:c r="V1" s="26"/>
      <x:c r="W1" s="26"/>
      <x:c r="X1" s="26"/>
      <x:c r="Y1" s="26"/>
      <x:c r="Z1" s="26"/>
    </x:row>
    <x:row r="2">
      <x:c r="A2" s="26"/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</x:row>
    <x:row r="3">
      <x:c r="A3" s="14" t="str">
        <x:v>metric</x:v>
      </x:c>
      <x:c r="B3" s="14" t="str">
        <x:v>formula / logic</x:v>
      </x:c>
      <x:c r="C3" s="14" t="str">
        <x:v>value</x:v>
      </x:c>
      <x:c r="D3" s="14" t="str">
        <x:v>unit</x:v>
      </x:c>
      <x:c r="E3" s="14" t="str">
        <x:v>interpretation</x:v>
      </x:c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</x:row>
    <x:row r="4">
      <x:c r="A4" s="26" t="str">
        <x:v>Traffic</x:v>
      </x:c>
      <x:c r="B4" s="26" t="str">
        <x:v>Last forecast month traffic</x:v>
      </x:c>
      <x:c r="C4" s="53" t="n">
        <x:f>Funnel!D27</x:f>
        <x:v>3000</x:v>
      </x:c>
      <x:c r="D4" s="26" t="str">
        <x:v>visits/month</x:v>
      </x:c>
      <x:c r="E4" s="26" t="str">
        <x:v>Top-of-funnel reach</x:v>
      </x:c>
      <x:c r="F4" s="26"/>
      <x:c r="G4" s="26"/>
      <x:c r="H4" s="26"/>
      <x:c r="I4" s="26"/>
      <x:c r="J4" s="26"/>
      <x:c r="K4" s="26"/>
      <x:c r="L4" s="26"/>
      <x:c r="M4" s="26"/>
      <x:c r="N4" s="26"/>
      <x:c r="O4" s="26"/>
      <x:c r="P4" s="26"/>
      <x:c r="Q4" s="26"/>
      <x:c r="R4" s="26"/>
      <x:c r="S4" s="26"/>
      <x:c r="T4" s="26"/>
      <x:c r="U4" s="26"/>
      <x:c r="V4" s="26"/>
      <x:c r="W4" s="26"/>
      <x:c r="X4" s="26"/>
      <x:c r="Y4" s="26"/>
      <x:c r="Z4" s="26"/>
    </x:row>
    <x:row r="5">
      <x:c r="A5" s="26" t="str">
        <x:v>Leads</x:v>
      </x:c>
      <x:c r="B5" s="26" t="str">
        <x:v>Last forecast month leads</x:v>
      </x:c>
      <x:c r="C5" s="53" t="n">
        <x:f>Funnel!E27</x:f>
        <x:v>120</x:v>
      </x:c>
      <x:c r="D5" s="26" t="str">
        <x:v>leads/month</x:v>
      </x:c>
      <x:c r="E5" s="26" t="str">
        <x:v>Captured intent</x:v>
      </x:c>
      <x:c r="F5" s="26"/>
      <x:c r="G5" s="26"/>
      <x:c r="H5" s="26"/>
      <x:c r="I5" s="26"/>
      <x:c r="J5" s="26"/>
      <x:c r="K5" s="26"/>
      <x:c r="L5" s="26"/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>
      <x:c r="A6" s="26" t="str">
        <x:v>Registrations</x:v>
      </x:c>
      <x:c r="B6" s="26" t="str">
        <x:v>Last forecast month registrations</x:v>
      </x:c>
      <x:c r="C6" s="53" t="n">
        <x:f>Funnel!F27</x:f>
        <x:v>54</x:v>
      </x:c>
      <x:c r="D6" s="26" t="str">
        <x:v>registrations/month</x:v>
      </x:c>
      <x:c r="E6" s="26" t="str">
        <x:v>Product account/signup</x:v>
      </x:c>
      <x:c r="F6" s="26"/>
      <x:c r="G6" s="26"/>
      <x:c r="H6" s="26"/>
      <x:c r="I6" s="26"/>
      <x:c r="J6" s="26"/>
      <x:c r="K6" s="26"/>
      <x:c r="L6" s="26"/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/>
      <x:c r="X6" s="26"/>
      <x:c r="Y6" s="26"/>
      <x:c r="Z6" s="26"/>
    </x:row>
    <x:row r="7">
      <x:c r="A7" s="26" t="str">
        <x:v>Activation</x:v>
      </x:c>
      <x:c r="B7" s="26" t="str">
        <x:v>Activated / registrations</x:v>
      </x:c>
      <x:c r="C7" s="54" t="n">
        <x:f>IFERROR(Funnel!G27/Funnel!F27,0)</x:f>
        <x:v>0.55</x:v>
      </x:c>
      <x:c r="D7" s="26" t="str">
        <x:v>%</x:v>
      </x:c>
      <x:c r="E7" s="26" t="str">
        <x:v>First family/card created</x:v>
      </x:c>
      <x:c r="F7" s="26"/>
      <x:c r="G7" s="26"/>
      <x:c r="H7" s="26"/>
      <x:c r="I7" s="26"/>
      <x:c r="J7" s="26"/>
      <x:c r="K7" s="26"/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26"/>
      <x:c r="Z7" s="26"/>
    </x:row>
    <x:row r="8">
      <x:c r="A8" s="26" t="str">
        <x:v>Paid Users</x:v>
      </x:c>
      <x:c r="B8" s="26" t="str">
        <x:v>Active paid users in last month</x:v>
      </x:c>
      <x:c r="C8" s="53" t="n">
        <x:f>Revenue!C27</x:f>
        <x:v>142.55999999999997</x:v>
      </x:c>
      <x:c r="D8" s="26" t="str">
        <x:v>users</x:v>
      </x:c>
      <x:c r="E8" s="26" t="str">
        <x:v>Customers paying</x:v>
      </x:c>
      <x:c r="F8" s="26"/>
      <x:c r="G8" s="26"/>
      <x:c r="H8" s="26"/>
      <x:c r="I8" s="26"/>
      <x:c r="J8" s="26"/>
      <x:c r="K8" s="26"/>
      <x:c r="L8" s="26"/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/>
      <x:c r="X8" s="26"/>
      <x:c r="Y8" s="26"/>
      <x:c r="Z8" s="26"/>
    </x:row>
    <x:row r="9">
      <x:c r="A9" s="26" t="str">
        <x:v>Conversion to Paid</x:v>
      </x:c>
      <x:c r="B9" s="26" t="str">
        <x:v>New paid / registrations</x:v>
      </x:c>
      <x:c r="C9" s="54" t="n">
        <x:f>IFERROR(Funnel!H27/Funnel!F27,0)</x:f>
        <x:v>0.11000000000000003</x:v>
      </x:c>
      <x:c r="D9" s="26" t="str">
        <x:v>%</x:v>
      </x:c>
      <x:c r="E9" s="26" t="str">
        <x:v>Activation → paid result</x:v>
      </x:c>
      <x:c r="F9" s="26"/>
      <x:c r="G9" s="26"/>
      <x:c r="H9" s="26"/>
      <x:c r="I9" s="26"/>
      <x:c r="J9" s="26"/>
      <x:c r="K9" s="26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26"/>
      <x:c r="Z9" s="26"/>
    </x:row>
    <x:row r="10">
      <x:c r="A10" s="26" t="str">
        <x:v>ARPU</x:v>
      </x:c>
      <x:c r="B10" s="26" t="str">
        <x:v>Revenue / registrations</x:v>
      </x:c>
      <x:c r="C10" s="58" t="n">
        <x:f>Revenue!N27</x:f>
        <x:v>99702.23999999998</x:v>
      </x:c>
      <x:c r="D10" s="26" t="str">
        <x:v>RUB/month</x:v>
      </x:c>
      <x:c r="E10" s="26" t="str">
        <x:v>Blended revenue per registration</x:v>
      </x:c>
      <x:c r="F10" s="26"/>
      <x:c r="G10" s="26"/>
      <x:c r="H10" s="26"/>
      <x:c r="I10" s="26"/>
      <x:c r="J10" s="26"/>
      <x:c r="K10" s="26"/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</x:row>
    <x:row r="11">
      <x:c r="A11" s="26" t="str">
        <x:v>ARPPU</x:v>
      </x:c>
      <x:c r="B11" s="26" t="str">
        <x:v>Recognized revenue / active paid user</x:v>
      </x:c>
      <x:c r="C11" s="58" t="n">
        <x:f>IFERROR(Revenue!I27/Revenue!C27,0)</x:f>
        <x:v>37766</x:v>
      </x:c>
      <x:c r="D11" s="26" t="str">
        <x:v>RUB/month</x:v>
      </x:c>
      <x:c r="E11" s="26" t="str">
        <x:v>Average paying account revenue</x:v>
      </x:c>
      <x:c r="F11" s="26"/>
      <x:c r="G11" s="26"/>
      <x:c r="H11" s="26"/>
      <x:c r="I11" s="26"/>
      <x:c r="J11" s="26"/>
      <x:c r="K11" s="26"/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</x:row>
    <x:row r="12">
      <x:c r="A12" s="26" t="str">
        <x:v>Revenue</x:v>
      </x:c>
      <x:c r="B12" s="26" t="str">
        <x:v>Last month recognized revenue</x:v>
      </x:c>
      <x:c r="C12" s="58" t="n">
        <x:f>Revenue!I27</x:f>
        <x:v>5383920.959999999</x:v>
      </x:c>
      <x:c r="D12" s="26" t="str">
        <x:v>RUB/month</x:v>
      </x:c>
      <x:c r="E12" s="26" t="str">
        <x:v>MRR-like recognized revenue</x:v>
      </x:c>
      <x:c r="F12" s="26"/>
      <x:c r="G12" s="26"/>
      <x:c r="H12" s="26"/>
      <x:c r="I12" s="26"/>
      <x:c r="J12" s="26"/>
      <x:c r="K12" s="26"/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/>
      <x:c r="X12" s="26"/>
      <x:c r="Y12" s="26"/>
      <x:c r="Z12" s="26"/>
    </x:row>
    <x:row r="13">
      <x:c r="A13" s="26" t="str">
        <x:v>Gross Profit</x:v>
      </x:c>
      <x:c r="B13" s="26" t="str">
        <x:v>Revenue - COGS</x:v>
      </x:c>
      <x:c r="C13" s="58" t="n">
        <x:f>Costs!I27</x:f>
        <x:v>5130998.135999999</x:v>
      </x:c>
      <x:c r="D13" s="26" t="str">
        <x:v>RUB/month</x:v>
      </x:c>
      <x:c r="E13" s="26" t="str">
        <x:v>Gross profit</x:v>
      </x:c>
      <x:c r="F13" s="26"/>
      <x:c r="G13" s="26"/>
      <x:c r="H13" s="26"/>
      <x:c r="I13" s="26"/>
      <x:c r="J13" s="26"/>
      <x:c r="K13" s="26"/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</x:row>
    <x:row r="14">
      <x:c r="A14" s="26" t="str">
        <x:v>Gross Margin</x:v>
      </x:c>
      <x:c r="B14" s="26" t="str">
        <x:v>Gross Profit / Revenue</x:v>
      </x:c>
      <x:c r="C14" s="54" t="n">
        <x:f>IFERROR(Costs!I27/Costs!C27,0)</x:f>
        <x:v>0.9530225599745803</x:v>
      </x:c>
      <x:c r="D14" s="26" t="str">
        <x:v>%</x:v>
      </x:c>
      <x:c r="E14" s="26" t="str">
        <x:v>SaaS target usually high; watch support</x:v>
      </x:c>
      <x:c r="F14" s="26"/>
      <x:c r="G14" s="26"/>
      <x:c r="H14" s="26"/>
      <x:c r="I14" s="26"/>
      <x:c r="J14" s="26"/>
      <x:c r="K14" s="26"/>
      <x:c r="L14" s="26"/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/>
      <x:c r="X14" s="26"/>
      <x:c r="Y14" s="26"/>
      <x:c r="Z14" s="26"/>
    </x:row>
    <x:row r="15">
      <x:c r="A15" s="26" t="str">
        <x:v>Contribution Margin</x:v>
      </x:c>
      <x:c r="B15" s="26" t="str">
        <x:v>(Gross Profit - Marketing - Sales) / Revenue</x:v>
      </x:c>
      <x:c r="C15" s="54" t="n">
        <x:f>IFERROR((Costs!I27-Costs!J27-Costs!K27)/Costs!C27,0)</x:f>
        <x:v>0.927019206463239</x:v>
      </x:c>
      <x:c r="D15" s="26" t="str">
        <x:v>%</x:v>
      </x:c>
      <x:c r="E15" s="26" t="str">
        <x:v>After acquisition/sales costs</x:v>
      </x:c>
      <x:c r="F15" s="26"/>
      <x:c r="G15" s="26"/>
      <x:c r="H15" s="26"/>
      <x:c r="I15" s="26"/>
      <x:c r="J15" s="26"/>
      <x:c r="K15" s="26"/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</x:row>
    <x:row r="16">
      <x:c r="A16" s="26" t="str">
        <x:v>CAC</x:v>
      </x:c>
      <x:c r="B16" s="26" t="str">
        <x:v>(Marketing + Sales) / New Paid Users</x:v>
      </x:c>
      <x:c r="C16" s="54" t="n">
        <x:f>IFERROR((Costs!J27+Costs!K27)/Funnel!H27,0)</x:f>
        <x:v>23569.023569023564</x:v>
      </x:c>
      <x:c r="D16" s="26" t="str">
        <x:v>RUB/customer</x:v>
      </x:c>
      <x:c r="E16" s="26" t="str">
        <x:v>Customer acquisition cost</x:v>
      </x:c>
      <x:c r="F16" s="26"/>
      <x:c r="G16" s="26"/>
      <x:c r="H16" s="26"/>
      <x:c r="I16" s="26"/>
      <x:c r="J16" s="26"/>
      <x:c r="K16" s="26"/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</x:row>
    <x:row r="17">
      <x:c r="A17" s="26" t="str">
        <x:v>Monthly Churn</x:v>
      </x:c>
      <x:c r="B17" s="26" t="str">
        <x:v>Scenario churn</x:v>
      </x:c>
      <x:c r="C17" s="54" t="n">
        <x:f>INDEX(Scenarios!$B$9:$D$9,1,MATCH(Assumptions!$C$4,Scenarios!$B$3:$D$3,0))</x:f>
        <x:v>0.05</x:v>
      </x:c>
      <x:c r="D17" s="26" t="str">
        <x:v>%</x:v>
      </x:c>
      <x:c r="E17" s="26" t="str">
        <x:v>Logo churn per month</x:v>
      </x:c>
      <x:c r="F17" s="26"/>
      <x:c r="G17" s="26"/>
      <x:c r="H17" s="26"/>
      <x:c r="I17" s="26"/>
      <x:c r="J17" s="26"/>
      <x:c r="K17" s="26"/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</x:row>
    <x:row r="18">
      <x:c r="A18" s="26" t="str">
        <x:v>Retention</x:v>
      </x:c>
      <x:c r="B18" s="26" t="str">
        <x:v>1 - churn</x:v>
      </x:c>
      <x:c r="C18" s="58" t="n">
        <x:f>1-C17</x:f>
        <x:v>0.95</x:v>
      </x:c>
      <x:c r="D18" s="26" t="str">
        <x:v>%/month</x:v>
      </x:c>
      <x:c r="E18" s="26" t="str">
        <x:v>Monthly retention</x:v>
      </x:c>
      <x:c r="F18" s="26"/>
      <x:c r="G18" s="26"/>
      <x:c r="H18" s="26"/>
      <x:c r="I18" s="26"/>
      <x:c r="J18" s="26"/>
      <x:c r="K18" s="26"/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</x:row>
    <x:row r="19">
      <x:c r="A19" s="26" t="str">
        <x:v>LTV</x:v>
      </x:c>
      <x:c r="B19" s="26" t="str">
        <x:v>ARPPU * Gross Margin / Churn</x:v>
      </x:c>
      <x:c r="C19" s="60" t="n">
        <x:f>IFERROR(C11*C14/C17,0)</x:f>
        <x:v>719836.9999999999</x:v>
      </x:c>
      <x:c r="D19" s="26" t="str">
        <x:v>RUB/customer</x:v>
      </x:c>
      <x:c r="E19" s="26" t="str">
        <x:v>Gross-profit LTV</x:v>
      </x:c>
      <x:c r="F19" s="26"/>
      <x:c r="G19" s="26"/>
      <x:c r="H19" s="26"/>
      <x:c r="I19" s="26"/>
      <x:c r="J19" s="26"/>
      <x:c r="K19" s="26"/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>
      <x:c r="A20" s="26" t="str">
        <x:v>LTV/CAC</x:v>
      </x:c>
      <x:c r="B20" s="26" t="str">
        <x:v>LTV / CAC</x:v>
      </x:c>
      <x:c r="C20" s="60" t="n">
        <x:f>IFERROR(C19/C16,0)</x:f>
        <x:v>30.541655571428574</x:v>
      </x:c>
      <x:c r="D20" s="26" t="str">
        <x:v>x</x:v>
      </x:c>
      <x:c r="E20" s="26" t="str">
        <x:v>Target: &gt;3x after validation</x:v>
      </x:c>
      <x:c r="F20" s="26"/>
      <x:c r="G20" s="26"/>
      <x:c r="H20" s="26"/>
      <x:c r="I20" s="26"/>
      <x:c r="J20" s="26"/>
      <x:c r="K20" s="26"/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>
      <x:c r="A21" s="26" t="str">
        <x:v>CAC Payback</x:v>
      </x:c>
      <x:c r="B21" s="26" t="str">
        <x:v>CAC / gross profit per customer per month</x:v>
      </x:c>
      <x:c r="C21" s="61" t="n">
        <x:f>IFERROR(C16/(C11*C14),0)</x:f>
        <x:v>0.6548433483975835</x:v>
      </x:c>
      <x:c r="D21" s="26" t="str">
        <x:v>months</x:v>
      </x:c>
      <x:c r="E21" s="26" t="str">
        <x:v>Target for SMB SaaS: preferably &lt;12 months</x:v>
      </x:c>
      <x:c r="F21" s="26"/>
      <x:c r="G21" s="26"/>
      <x:c r="H21" s="26"/>
      <x:c r="I21" s="26"/>
      <x:c r="J21" s="26"/>
      <x:c r="K21" s="26"/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>
      <x:c r="A22" s="26" t="str">
        <x:v>Burn Rate</x:v>
      </x:c>
      <x:c r="B22" s="26" t="str">
        <x:v>Negative monthly cash flow if below zero</x:v>
      </x:c>
      <x:c r="C22" s="58" t="n">
        <x:f>MAX(0,-Costs!O27)</x:f>
        <x:v>0</x:v>
      </x:c>
      <x:c r="D22" s="26" t="str">
        <x:v>RUB/month</x:v>
      </x:c>
      <x:c r="E22" s="26" t="str">
        <x:v>Monthly net burn</x:v>
      </x:c>
      <x:c r="F22" s="26"/>
      <x:c r="G22" s="26"/>
      <x:c r="H22" s="26"/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>
      <x:c r="A23" s="26" t="str">
        <x:v>Runway</x:v>
      </x:c>
      <x:c r="B23" s="26" t="str">
        <x:v>Cash / burn</x:v>
      </x:c>
      <x:c r="C23" s="58" t="n">
        <x:f>IFERROR(Assumptions!$C$35/C22,999)</x:f>
        <x:v>999</x:v>
      </x:c>
      <x:c r="D23" s="26" t="str">
        <x:v>months</x:v>
      </x:c>
      <x:c r="E23" s="26" t="str">
        <x:v>999 = no burn</x:v>
      </x:c>
      <x:c r="F23" s="26"/>
      <x:c r="G23" s="26"/>
      <x:c r="H23" s="26"/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>
      <x:c r="A24" s="26" t="str">
        <x:v>Break-even Active Users</x:v>
      </x:c>
      <x:c r="B24" s="26" t="str">
        <x:v>Operating costs / gross profit per paid user</x:v>
      </x:c>
      <x:c r="C24" s="53" t="n">
        <x:f>IFERROR(Costs!N27/(C11*C14),0)</x:f>
        <x:v>12.224989824085176</x:v>
      </x:c>
      <x:c r="D24" s="26" t="str">
        <x:v>paid users</x:v>
      </x:c>
      <x:c r="E24" s="26" t="str">
        <x:v>Approx. active users needed</x:v>
      </x:c>
      <x:c r="F24" s="26"/>
      <x:c r="G24" s="26"/>
      <x:c r="H24" s="26"/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>
      <x:c r="A25" s="26" t="str">
        <x:v>Break-even Month</x:v>
      </x:c>
      <x:c r="B25" s="26" t="str">
        <x:v>First month with positive cash flow</x:v>
      </x:c>
      <x:c r="C25" s="52" t="n">
        <x:f>IFERROR(INDEX(Costs!B4:B27,MATCH(TRUE,Costs!O4:O27&gt;0,0)),"Not within forecast")</x:f>
        <x:v>46235</x:v>
      </x:c>
      <x:c r="D25" s="26" t="str">
        <x:v>month</x:v>
      </x:c>
      <x:c r="E25" s="26" t="str">
        <x:v>Operating break-even</x:v>
      </x:c>
      <x:c r="F25" s="26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>
      <x:c r="A26" s="26"/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>
      <x:c r="A27" s="26"/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>
      <x:c r="A28" s="26"/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>
      <x:c r="A29" s="26"/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>
      <x:c r="A30" s="26"/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>
      <x:c r="A31" s="26"/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>
      <x:c r="A32" s="26"/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>
      <x:c r="A33" s="26"/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</x:row>
    <x:row r="34">
      <x:c r="A34" s="26"/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</x:row>
    <x:row r="35">
      <x:c r="A35" s="26"/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</x:row>
    <x:row r="36">
      <x:c r="A36" s="26"/>
      <x:c r="B36" s="26"/>
      <x:c r="C36" s="26"/>
      <x:c r="D36" s="26"/>
      <x:c r="E36" s="26"/>
      <x:c r="F36" s="26"/>
      <x:c r="G36" s="26"/>
      <x:c r="H36" s="26"/>
      <x:c r="I36" s="26"/>
      <x:c r="J36" s="26"/>
      <x:c r="K36" s="26"/>
      <x:c r="L36" s="26"/>
      <x:c r="M36" s="26"/>
      <x:c r="N36" s="26"/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</x:row>
    <x:row r="37">
      <x:c r="A37" s="26"/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  <x:c r="L37" s="26"/>
      <x:c r="M37" s="26"/>
      <x:c r="N37" s="26"/>
      <x:c r="O37" s="26"/>
      <x:c r="P37" s="26"/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</x:row>
    <x:row r="38">
      <x:c r="A38" s="26"/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</x:row>
    <x:row r="39">
      <x:c r="A39" s="26"/>
      <x:c r="B39" s="26"/>
      <x:c r="C39" s="26"/>
      <x:c r="D39" s="26"/>
      <x:c r="E39" s="26"/>
      <x:c r="F39" s="26"/>
      <x:c r="G39" s="26"/>
      <x:c r="H39" s="26"/>
      <x:c r="I39" s="26"/>
      <x:c r="J39" s="26"/>
      <x:c r="K39" s="26"/>
      <x:c r="L39" s="26"/>
      <x:c r="M39" s="26"/>
      <x:c r="N39" s="26"/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</x:row>
    <x:row r="40">
      <x:c r="A40" s="26"/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  <x:c r="L40" s="26"/>
      <x:c r="M40" s="26"/>
      <x:c r="N40" s="26"/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</x:row>
    <x:row r="41">
      <x:c r="A41" s="26"/>
      <x:c r="B41" s="26"/>
      <x:c r="C41" s="26"/>
      <x:c r="D41" s="26"/>
      <x:c r="E41" s="26"/>
      <x:c r="F41" s="26"/>
      <x:c r="G41" s="26"/>
      <x:c r="H41" s="26"/>
      <x:c r="I41" s="26"/>
      <x:c r="J41" s="26"/>
      <x:c r="K41" s="26"/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</x:row>
    <x:row r="42">
      <x:c r="A42" s="26"/>
      <x:c r="B42" s="26"/>
      <x:c r="C42" s="26"/>
      <x:c r="D42" s="26"/>
      <x:c r="E42" s="26"/>
      <x:c r="F42" s="26"/>
      <x:c r="G42" s="26"/>
      <x:c r="H42" s="26"/>
      <x:c r="I42" s="26"/>
      <x:c r="J42" s="26"/>
      <x:c r="K42" s="26"/>
      <x:c r="L42" s="26"/>
      <x:c r="M42" s="26"/>
      <x:c r="N42" s="26"/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</x:row>
    <x:row r="43">
      <x:c r="A43" s="26"/>
      <x:c r="B43" s="26"/>
      <x:c r="C43" s="26"/>
      <x:c r="D43" s="26"/>
      <x:c r="E43" s="26"/>
      <x:c r="F43" s="26"/>
      <x:c r="G43" s="26"/>
      <x:c r="H43" s="26"/>
      <x:c r="I43" s="26"/>
      <x:c r="J43" s="26"/>
      <x:c r="K43" s="26"/>
      <x:c r="L43" s="26"/>
      <x:c r="M43" s="26"/>
      <x:c r="N43" s="26"/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</x:row>
    <x:row r="44">
      <x:c r="A44" s="26"/>
      <x:c r="B44" s="26"/>
      <x:c r="C44" s="26"/>
      <x:c r="D44" s="26"/>
      <x:c r="E44" s="26"/>
      <x:c r="F44" s="26"/>
      <x:c r="G44" s="26"/>
      <x:c r="H44" s="26"/>
      <x:c r="I44" s="26"/>
      <x:c r="J44" s="26"/>
      <x:c r="K44" s="26"/>
      <x:c r="L44" s="26"/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</x:row>
    <x:row r="45">
      <x:c r="A45" s="26"/>
      <x:c r="B45" s="26"/>
      <x:c r="C45" s="26"/>
      <x:c r="D45" s="26"/>
      <x:c r="E45" s="26"/>
      <x:c r="F45" s="26"/>
      <x:c r="G45" s="26"/>
      <x:c r="H45" s="26"/>
      <x:c r="I45" s="26"/>
      <x:c r="J45" s="26"/>
      <x:c r="K45" s="26"/>
      <x:c r="L45" s="26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</x:row>
    <x:row r="46">
      <x:c r="A46" s="26"/>
      <x:c r="B46" s="26"/>
      <x:c r="C46" s="26"/>
      <x:c r="D46" s="26"/>
      <x:c r="E46" s="26"/>
      <x:c r="F46" s="26"/>
      <x:c r="G46" s="26"/>
      <x:c r="H46" s="26"/>
      <x:c r="I46" s="26"/>
      <x:c r="J46" s="26"/>
      <x:c r="K46" s="26"/>
      <x:c r="L46" s="26"/>
      <x:c r="M46" s="26"/>
      <x:c r="N46" s="26"/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</x:row>
    <x:row r="47">
      <x:c r="A47" s="26"/>
      <x:c r="B47" s="26"/>
      <x:c r="C47" s="26"/>
      <x:c r="D47" s="26"/>
      <x:c r="E47" s="26"/>
      <x:c r="F47" s="26"/>
      <x:c r="G47" s="26"/>
      <x:c r="H47" s="26"/>
      <x:c r="I47" s="26"/>
      <x:c r="J47" s="26"/>
      <x:c r="K47" s="26"/>
      <x:c r="L47" s="26"/>
      <x:c r="M47" s="26"/>
      <x:c r="N47" s="26"/>
      <x:c r="O47" s="26"/>
      <x:c r="P47" s="26"/>
      <x:c r="Q47" s="26"/>
      <x:c r="R47" s="26"/>
      <x:c r="S47" s="26"/>
      <x:c r="T47" s="26"/>
      <x:c r="U47" s="26"/>
      <x:c r="V47" s="26"/>
      <x:c r="W47" s="26"/>
      <x:c r="X47" s="26"/>
      <x:c r="Y47" s="26"/>
      <x:c r="Z47" s="26"/>
    </x:row>
    <x:row r="48">
      <x:c r="A48" s="26"/>
      <x:c r="B48" s="26"/>
      <x:c r="C48" s="26"/>
      <x:c r="D48" s="26"/>
      <x:c r="E48" s="26"/>
      <x:c r="F48" s="26"/>
      <x:c r="G48" s="26"/>
      <x:c r="H48" s="26"/>
      <x:c r="I48" s="26"/>
      <x:c r="J48" s="26"/>
      <x:c r="K48" s="26"/>
      <x:c r="L48" s="26"/>
      <x:c r="M48" s="26"/>
      <x:c r="N48" s="26"/>
      <x:c r="O48" s="26"/>
      <x:c r="P48" s="26"/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</x:row>
    <x:row r="49">
      <x:c r="A49" s="26"/>
      <x:c r="B49" s="26"/>
      <x:c r="C49" s="26"/>
      <x:c r="D49" s="26"/>
      <x:c r="E49" s="26"/>
      <x:c r="F49" s="26"/>
      <x:c r="G49" s="26"/>
      <x:c r="H49" s="26"/>
      <x:c r="I49" s="26"/>
      <x:c r="J49" s="26"/>
      <x:c r="K49" s="26"/>
      <x:c r="L49" s="26"/>
      <x:c r="M49" s="26"/>
      <x:c r="N49" s="26"/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</x:row>
    <x:row r="50">
      <x:c r="A50" s="26"/>
      <x:c r="B50" s="26"/>
      <x:c r="C50" s="26"/>
      <x:c r="D50" s="26"/>
      <x:c r="E50" s="26"/>
      <x:c r="F50" s="26"/>
      <x:c r="G50" s="26"/>
      <x:c r="H50" s="26"/>
      <x:c r="I50" s="26"/>
      <x:c r="J50" s="26"/>
      <x:c r="K50" s="26"/>
      <x:c r="L50" s="26"/>
      <x:c r="M50" s="26"/>
      <x:c r="N50" s="26"/>
      <x:c r="O50" s="26"/>
      <x:c r="P50" s="26"/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</x:row>
    <x:row r="51">
      <x:c r="A51" s="26"/>
      <x:c r="B51" s="26"/>
      <x:c r="C51" s="26"/>
      <x:c r="D51" s="26"/>
      <x:c r="E51" s="26"/>
      <x:c r="F51" s="26"/>
      <x:c r="G51" s="26"/>
      <x:c r="H51" s="26"/>
      <x:c r="I51" s="26"/>
      <x:c r="J51" s="26"/>
      <x:c r="K51" s="26"/>
      <x:c r="L51" s="26"/>
      <x:c r="M51" s="26"/>
      <x:c r="N51" s="26"/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</x:row>
    <x:row r="52">
      <x:c r="A52" s="26"/>
      <x:c r="B52" s="26"/>
      <x:c r="C52" s="26"/>
      <x:c r="D52" s="26"/>
      <x:c r="E52" s="26"/>
      <x:c r="F52" s="26"/>
      <x:c r="G52" s="26"/>
      <x:c r="H52" s="26"/>
      <x:c r="I52" s="26"/>
      <x:c r="J52" s="26"/>
      <x:c r="K52" s="26"/>
      <x:c r="L52" s="26"/>
      <x:c r="M52" s="26"/>
      <x:c r="N52" s="26"/>
      <x:c r="O52" s="26"/>
      <x:c r="P52" s="26"/>
      <x:c r="Q52" s="26"/>
      <x:c r="R52" s="26"/>
      <x:c r="S52" s="26"/>
      <x:c r="T52" s="26"/>
      <x:c r="U52" s="26"/>
      <x:c r="V52" s="26"/>
      <x:c r="W52" s="26"/>
      <x:c r="X52" s="26"/>
      <x:c r="Y52" s="26"/>
      <x:c r="Z52" s="26"/>
    </x:row>
    <x:row r="53">
      <x:c r="A53" s="26"/>
      <x:c r="B53" s="26"/>
      <x:c r="C53" s="26"/>
      <x:c r="D53" s="26"/>
      <x:c r="E53" s="26"/>
      <x:c r="F53" s="26"/>
      <x:c r="G53" s="26"/>
      <x:c r="H53" s="26"/>
      <x:c r="I53" s="26"/>
      <x:c r="J53" s="26"/>
      <x:c r="K53" s="26"/>
      <x:c r="L53" s="26"/>
      <x:c r="M53" s="26"/>
      <x:c r="N53" s="26"/>
      <x:c r="O53" s="26"/>
      <x:c r="P53" s="26"/>
      <x:c r="Q53" s="26"/>
      <x:c r="R53" s="26"/>
      <x:c r="S53" s="26"/>
      <x:c r="T53" s="26"/>
      <x:c r="U53" s="26"/>
      <x:c r="V53" s="26"/>
      <x:c r="W53" s="26"/>
      <x:c r="X53" s="26"/>
      <x:c r="Y53" s="26"/>
      <x:c r="Z53" s="26"/>
    </x:row>
    <x:row r="54">
      <x:c r="A54" s="26"/>
      <x:c r="B54" s="26"/>
      <x:c r="C54" s="26"/>
      <x:c r="D54" s="26"/>
      <x:c r="E54" s="26"/>
      <x:c r="F54" s="26"/>
      <x:c r="G54" s="26"/>
      <x:c r="H54" s="26"/>
      <x:c r="I54" s="26"/>
      <x:c r="J54" s="26"/>
      <x:c r="K54" s="26"/>
      <x:c r="L54" s="26"/>
      <x:c r="M54" s="26"/>
      <x:c r="N54" s="26"/>
      <x:c r="O54" s="26"/>
      <x:c r="P54" s="26"/>
      <x:c r="Q54" s="26"/>
      <x:c r="R54" s="26"/>
      <x:c r="S54" s="26"/>
      <x:c r="T54" s="26"/>
      <x:c r="U54" s="26"/>
      <x:c r="V54" s="26"/>
      <x:c r="W54" s="26"/>
      <x:c r="X54" s="26"/>
      <x:c r="Y54" s="26"/>
      <x:c r="Z54" s="26"/>
    </x:row>
    <x:row r="55">
      <x:c r="A55" s="26"/>
      <x:c r="B55" s="26"/>
      <x:c r="C55" s="26"/>
      <x:c r="D55" s="26"/>
      <x:c r="E55" s="26"/>
      <x:c r="F55" s="26"/>
      <x:c r="G55" s="26"/>
      <x:c r="H55" s="26"/>
      <x:c r="I55" s="26"/>
      <x:c r="J55" s="26"/>
      <x:c r="K55" s="26"/>
      <x:c r="L55" s="26"/>
      <x:c r="M55" s="26"/>
      <x:c r="N55" s="26"/>
      <x:c r="O55" s="26"/>
      <x:c r="P55" s="26"/>
      <x:c r="Q55" s="26"/>
      <x:c r="R55" s="26"/>
      <x:c r="S55" s="26"/>
      <x:c r="T55" s="26"/>
      <x:c r="U55" s="26"/>
      <x:c r="V55" s="26"/>
      <x:c r="W55" s="26"/>
      <x:c r="X55" s="26"/>
      <x:c r="Y55" s="26"/>
      <x:c r="Z55" s="26"/>
    </x:row>
    <x:row r="56">
      <x:c r="A56" s="26"/>
      <x:c r="B56" s="26"/>
      <x:c r="C56" s="26"/>
      <x:c r="D56" s="26"/>
      <x:c r="E56" s="26"/>
      <x:c r="F56" s="26"/>
      <x:c r="G56" s="26"/>
      <x:c r="H56" s="26"/>
      <x:c r="I56" s="26"/>
      <x:c r="J56" s="26"/>
      <x:c r="K56" s="26"/>
      <x:c r="L56" s="26"/>
      <x:c r="M56" s="26"/>
      <x:c r="N56" s="26"/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</x:row>
    <x:row r="57">
      <x:c r="A57" s="26"/>
      <x:c r="B57" s="26"/>
      <x:c r="C57" s="26"/>
      <x:c r="D57" s="26"/>
      <x:c r="E57" s="26"/>
      <x:c r="F57" s="26"/>
      <x:c r="G57" s="26"/>
      <x:c r="H57" s="26"/>
      <x:c r="I57" s="26"/>
      <x:c r="J57" s="26"/>
      <x:c r="K57" s="26"/>
      <x:c r="L57" s="26"/>
      <x:c r="M57" s="26"/>
      <x:c r="N57" s="26"/>
      <x:c r="O57" s="26"/>
      <x:c r="P57" s="26"/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</x:row>
    <x:row r="58">
      <x:c r="A58" s="26"/>
      <x:c r="B58" s="26"/>
      <x:c r="C58" s="26"/>
      <x:c r="D58" s="26"/>
      <x:c r="E58" s="26"/>
      <x:c r="F58" s="26"/>
      <x:c r="G58" s="26"/>
      <x:c r="H58" s="26"/>
      <x:c r="I58" s="26"/>
      <x:c r="J58" s="26"/>
      <x:c r="K58" s="26"/>
      <x:c r="L58" s="26"/>
      <x:c r="M58" s="26"/>
      <x:c r="N58" s="26"/>
      <x:c r="O58" s="26"/>
      <x:c r="P58" s="26"/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</x:row>
    <x:row r="59">
      <x:c r="A59" s="26"/>
      <x:c r="B59" s="26"/>
      <x:c r="C59" s="26"/>
      <x:c r="D59" s="26"/>
      <x:c r="E59" s="26"/>
      <x:c r="F59" s="26"/>
      <x:c r="G59" s="26"/>
      <x:c r="H59" s="26"/>
      <x:c r="I59" s="26"/>
      <x:c r="J59" s="26"/>
      <x:c r="K59" s="26"/>
      <x:c r="L59" s="26"/>
      <x:c r="M59" s="26"/>
      <x:c r="N59" s="26"/>
      <x:c r="O59" s="26"/>
      <x:c r="P59" s="26"/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</x:row>
    <x:row r="60">
      <x:c r="A60" s="26"/>
      <x:c r="B60" s="26"/>
      <x:c r="C60" s="26"/>
      <x:c r="D60" s="26"/>
      <x:c r="E60" s="26"/>
      <x:c r="F60" s="26"/>
      <x:c r="G60" s="26"/>
      <x:c r="H60" s="26"/>
      <x:c r="I60" s="26"/>
      <x:c r="J60" s="26"/>
      <x:c r="K60" s="26"/>
      <x:c r="L60" s="26"/>
      <x:c r="M60" s="26"/>
      <x:c r="N60" s="26"/>
      <x:c r="O60" s="26"/>
      <x:c r="P60" s="26"/>
      <x:c r="Q60" s="26"/>
      <x:c r="R60" s="26"/>
      <x:c r="S60" s="26"/>
      <x:c r="T60" s="26"/>
      <x:c r="U60" s="26"/>
      <x:c r="V60" s="26"/>
      <x:c r="W60" s="26"/>
      <x:c r="X60" s="26"/>
      <x:c r="Y60" s="26"/>
      <x:c r="Z60" s="26"/>
    </x:row>
    <x:row r="61">
      <x:c r="A61" s="26"/>
      <x:c r="B61" s="26"/>
      <x:c r="C61" s="26"/>
      <x:c r="D61" s="26"/>
      <x:c r="E61" s="26"/>
      <x:c r="F61" s="26"/>
      <x:c r="G61" s="26"/>
      <x:c r="H61" s="26"/>
      <x:c r="I61" s="26"/>
      <x:c r="J61" s="26"/>
      <x:c r="K61" s="26"/>
      <x:c r="L61" s="26"/>
      <x:c r="M61" s="26"/>
      <x:c r="N61" s="26"/>
      <x:c r="O61" s="26"/>
      <x:c r="P61" s="26"/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</x:row>
    <x:row r="62">
      <x:c r="A62" s="26"/>
      <x:c r="B62" s="26"/>
      <x:c r="C62" s="26"/>
      <x:c r="D62" s="26"/>
      <x:c r="E62" s="26"/>
      <x:c r="F62" s="26"/>
      <x:c r="G62" s="26"/>
      <x:c r="H62" s="26"/>
      <x:c r="I62" s="26"/>
      <x:c r="J62" s="26"/>
      <x:c r="K62" s="26"/>
      <x:c r="L62" s="26"/>
      <x:c r="M62" s="26"/>
      <x:c r="N62" s="26"/>
      <x:c r="O62" s="26"/>
      <x:c r="P62" s="26"/>
      <x:c r="Q62" s="26"/>
      <x:c r="R62" s="26"/>
      <x:c r="S62" s="26"/>
      <x:c r="T62" s="26"/>
      <x:c r="U62" s="26"/>
      <x:c r="V62" s="26"/>
      <x:c r="W62" s="26"/>
      <x:c r="X62" s="26"/>
      <x:c r="Y62" s="26"/>
      <x:c r="Z62" s="26"/>
    </x:row>
    <x:row r="63">
      <x:c r="A63" s="26"/>
      <x:c r="B63" s="26"/>
      <x:c r="C63" s="26"/>
      <x:c r="D63" s="26"/>
      <x:c r="E63" s="26"/>
      <x:c r="F63" s="26"/>
      <x:c r="G63" s="26"/>
      <x:c r="H63" s="26"/>
      <x:c r="I63" s="26"/>
      <x:c r="J63" s="26"/>
      <x:c r="K63" s="26"/>
      <x:c r="L63" s="26"/>
      <x:c r="M63" s="26"/>
      <x:c r="N63" s="26"/>
      <x:c r="O63" s="26"/>
      <x:c r="P63" s="26"/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</x:row>
    <x:row r="64">
      <x:c r="A64" s="26"/>
      <x:c r="B64" s="26"/>
      <x:c r="C64" s="26"/>
      <x:c r="D64" s="26"/>
      <x:c r="E64" s="26"/>
      <x:c r="F64" s="26"/>
      <x:c r="G64" s="26"/>
      <x:c r="H64" s="26"/>
      <x:c r="I64" s="26"/>
      <x:c r="J64" s="26"/>
      <x:c r="K64" s="26"/>
      <x:c r="L64" s="26"/>
      <x:c r="M64" s="26"/>
      <x:c r="N64" s="26"/>
      <x:c r="O64" s="26"/>
      <x:c r="P64" s="26"/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</x:row>
    <x:row r="65">
      <x:c r="A65" s="26"/>
      <x:c r="B65" s="26"/>
      <x:c r="C65" s="26"/>
      <x:c r="D65" s="26"/>
      <x:c r="E65" s="26"/>
      <x:c r="F65" s="26"/>
      <x:c r="G65" s="26"/>
      <x:c r="H65" s="26"/>
      <x:c r="I65" s="26"/>
      <x:c r="J65" s="26"/>
      <x:c r="K65" s="26"/>
      <x:c r="L65" s="26"/>
      <x:c r="M65" s="26"/>
      <x:c r="N65" s="26"/>
      <x:c r="O65" s="26"/>
      <x:c r="P65" s="26"/>
      <x:c r="Q65" s="26"/>
      <x:c r="R65" s="26"/>
      <x:c r="S65" s="26"/>
      <x:c r="T65" s="26"/>
      <x:c r="U65" s="26"/>
      <x:c r="V65" s="26"/>
      <x:c r="W65" s="26"/>
      <x:c r="X65" s="26"/>
      <x:c r="Y65" s="26"/>
      <x:c r="Z65" s="26"/>
    </x:row>
    <x:row r="66">
      <x:c r="A66" s="26"/>
      <x:c r="B66" s="26"/>
      <x:c r="C66" s="26"/>
      <x:c r="D66" s="26"/>
      <x:c r="E66" s="26"/>
      <x:c r="F66" s="26"/>
      <x:c r="G66" s="26"/>
      <x:c r="H66" s="26"/>
      <x:c r="I66" s="26"/>
      <x:c r="J66" s="26"/>
      <x:c r="K66" s="26"/>
      <x:c r="L66" s="26"/>
      <x:c r="M66" s="26"/>
      <x:c r="N66" s="26"/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</x:row>
    <x:row r="67">
      <x:c r="A67" s="26"/>
      <x:c r="B67" s="26"/>
      <x:c r="C67" s="26"/>
      <x:c r="D67" s="26"/>
      <x:c r="E67" s="26"/>
      <x:c r="F67" s="26"/>
      <x:c r="G67" s="26"/>
      <x:c r="H67" s="26"/>
      <x:c r="I67" s="26"/>
      <x:c r="J67" s="26"/>
      <x:c r="K67" s="26"/>
      <x:c r="L67" s="26"/>
      <x:c r="M67" s="26"/>
      <x:c r="N67" s="26"/>
      <x:c r="O67" s="26"/>
      <x:c r="P67" s="26"/>
      <x:c r="Q67" s="26"/>
      <x:c r="R67" s="26"/>
      <x:c r="S67" s="26"/>
      <x:c r="T67" s="26"/>
      <x:c r="U67" s="26"/>
      <x:c r="V67" s="26"/>
      <x:c r="W67" s="26"/>
      <x:c r="X67" s="26"/>
      <x:c r="Y67" s="26"/>
      <x:c r="Z67" s="26"/>
    </x:row>
    <x:row r="68">
      <x:c r="A68" s="26"/>
      <x:c r="B68" s="26"/>
      <x:c r="C68" s="26"/>
      <x:c r="D68" s="26"/>
      <x:c r="E68" s="26"/>
      <x:c r="F68" s="26"/>
      <x:c r="G68" s="26"/>
      <x:c r="H68" s="26"/>
      <x:c r="I68" s="26"/>
      <x:c r="J68" s="26"/>
      <x:c r="K68" s="26"/>
      <x:c r="L68" s="26"/>
      <x:c r="M68" s="26"/>
      <x:c r="N68" s="26"/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6"/>
      <x:c r="Z68" s="26"/>
    </x:row>
    <x:row r="69">
      <x:c r="A69" s="26"/>
      <x:c r="B69" s="26"/>
      <x:c r="C69" s="26"/>
      <x:c r="D69" s="26"/>
      <x:c r="E69" s="26"/>
      <x:c r="F69" s="26"/>
      <x:c r="G69" s="26"/>
      <x:c r="H69" s="26"/>
      <x:c r="I69" s="26"/>
      <x:c r="J69" s="26"/>
      <x:c r="K69" s="26"/>
      <x:c r="L69" s="26"/>
      <x:c r="M69" s="26"/>
      <x:c r="N69" s="26"/>
      <x:c r="O69" s="26"/>
      <x:c r="P69" s="26"/>
      <x:c r="Q69" s="26"/>
      <x:c r="R69" s="26"/>
      <x:c r="S69" s="26"/>
      <x:c r="T69" s="26"/>
      <x:c r="U69" s="26"/>
      <x:c r="V69" s="26"/>
      <x:c r="W69" s="26"/>
      <x:c r="X69" s="26"/>
      <x:c r="Y69" s="26"/>
      <x:c r="Z69" s="26"/>
    </x:row>
    <x:row r="70">
      <x:c r="A70" s="26"/>
      <x:c r="B70" s="26"/>
      <x:c r="C70" s="26"/>
      <x:c r="D70" s="26"/>
      <x:c r="E70" s="26"/>
      <x:c r="F70" s="26"/>
      <x:c r="G70" s="26"/>
      <x:c r="H70" s="26"/>
      <x:c r="I70" s="26"/>
      <x:c r="J70" s="26"/>
      <x:c r="K70" s="26"/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</x:row>
    <x:row r="71">
      <x:c r="A71" s="26"/>
      <x:c r="B71" s="26"/>
      <x:c r="C71" s="26"/>
      <x:c r="D71" s="26"/>
      <x:c r="E71" s="26"/>
      <x:c r="F71" s="26"/>
      <x:c r="G71" s="26"/>
      <x:c r="H71" s="26"/>
      <x:c r="I71" s="26"/>
      <x:c r="J71" s="26"/>
      <x:c r="K71" s="26"/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6"/>
      <x:c r="Z71" s="26"/>
    </x:row>
    <x:row r="72">
      <x:c r="A72" s="26"/>
      <x:c r="B72" s="26"/>
      <x:c r="C72" s="26"/>
      <x:c r="D72" s="26"/>
      <x:c r="E72" s="26"/>
      <x:c r="F72" s="26"/>
      <x:c r="G72" s="26"/>
      <x:c r="H72" s="26"/>
      <x:c r="I72" s="26"/>
      <x:c r="J72" s="26"/>
      <x:c r="K72" s="26"/>
      <x:c r="L72" s="26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/>
      <x:c r="Y72" s="26"/>
      <x:c r="Z72" s="26"/>
    </x:row>
    <x:row r="73">
      <x:c r="A73" s="26"/>
      <x:c r="B73" s="26"/>
      <x:c r="C73" s="26"/>
      <x:c r="D73" s="26"/>
      <x:c r="E73" s="26"/>
      <x:c r="F73" s="26"/>
      <x:c r="G73" s="26"/>
      <x:c r="H73" s="26"/>
      <x:c r="I73" s="26"/>
      <x:c r="J73" s="26"/>
      <x:c r="K73" s="26"/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</x:row>
    <x:row r="74">
      <x:c r="A74" s="26"/>
      <x:c r="B74" s="26"/>
      <x:c r="C74" s="26"/>
      <x:c r="D74" s="26"/>
      <x:c r="E74" s="26"/>
      <x:c r="F74" s="26"/>
      <x:c r="G74" s="26"/>
      <x:c r="H74" s="26"/>
      <x:c r="I74" s="26"/>
      <x:c r="J74" s="26"/>
      <x:c r="K74" s="26"/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6"/>
      <x:c r="Z74" s="26"/>
    </x:row>
    <x:row r="75">
      <x:c r="A75" s="26"/>
      <x:c r="B75" s="26"/>
      <x:c r="C75" s="26"/>
      <x:c r="D75" s="26"/>
      <x:c r="E75" s="26"/>
      <x:c r="F75" s="26"/>
      <x:c r="G75" s="26"/>
      <x:c r="H75" s="26"/>
      <x:c r="I75" s="26"/>
      <x:c r="J75" s="26"/>
      <x:c r="K75" s="26"/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6"/>
      <x:c r="Z75" s="26"/>
    </x:row>
    <x:row r="76">
      <x:c r="A76" s="26"/>
      <x:c r="B76" s="26"/>
      <x:c r="C76" s="26"/>
      <x:c r="D76" s="26"/>
      <x:c r="E76" s="26"/>
      <x:c r="F76" s="26"/>
      <x:c r="G76" s="26"/>
      <x:c r="H76" s="26"/>
      <x:c r="I76" s="26"/>
      <x:c r="J76" s="26"/>
      <x:c r="K76" s="26"/>
      <x:c r="L76" s="26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6"/>
      <x:c r="Z76" s="26"/>
    </x:row>
    <x:row r="77">
      <x:c r="A77" s="26"/>
      <x:c r="B77" s="26"/>
      <x:c r="C77" s="26"/>
      <x:c r="D77" s="26"/>
      <x:c r="E77" s="26"/>
      <x:c r="F77" s="26"/>
      <x:c r="G77" s="26"/>
      <x:c r="H77" s="26"/>
      <x:c r="I77" s="26"/>
      <x:c r="J77" s="26"/>
      <x:c r="K77" s="26"/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</x:row>
    <x:row r="78">
      <x:c r="A78" s="26"/>
      <x:c r="B78" s="26"/>
      <x:c r="C78" s="26"/>
      <x:c r="D78" s="26"/>
      <x:c r="E78" s="26"/>
      <x:c r="F78" s="26"/>
      <x:c r="G78" s="26"/>
      <x:c r="H78" s="26"/>
      <x:c r="I78" s="26"/>
      <x:c r="J78" s="26"/>
      <x:c r="K78" s="26"/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6"/>
      <x:c r="Z78" s="26"/>
    </x:row>
    <x:row r="79">
      <x:c r="A79" s="26"/>
      <x:c r="B79" s="26"/>
      <x:c r="C79" s="26"/>
      <x:c r="D79" s="26"/>
      <x:c r="E79" s="26"/>
      <x:c r="F79" s="26"/>
      <x:c r="G79" s="26"/>
      <x:c r="H79" s="26"/>
      <x:c r="I79" s="26"/>
      <x:c r="J79" s="26"/>
      <x:c r="K79" s="26"/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/>
      <x:c r="Z79" s="26"/>
    </x:row>
    <x:row r="80">
      <x:c r="A80" s="26"/>
      <x:c r="B80" s="26"/>
      <x:c r="C80" s="26"/>
      <x:c r="D80" s="26"/>
      <x:c r="E80" s="26"/>
      <x:c r="F80" s="26"/>
      <x:c r="G80" s="26"/>
      <x:c r="H80" s="26"/>
      <x:c r="I80" s="26"/>
      <x:c r="J80" s="26"/>
      <x:c r="K80" s="26"/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</x:row>
    <x:row r="81">
      <x:c r="A81" s="26"/>
      <x:c r="B81" s="26"/>
      <x:c r="C81" s="26"/>
      <x:c r="D81" s="26"/>
      <x:c r="E81" s="26"/>
      <x:c r="F81" s="26"/>
      <x:c r="G81" s="26"/>
      <x:c r="H81" s="26"/>
      <x:c r="I81" s="26"/>
      <x:c r="J81" s="26"/>
      <x:c r="K81" s="26"/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  <x:c r="Z81" s="26"/>
    </x:row>
    <x:row r="82">
      <x:c r="A82" s="26"/>
      <x:c r="B82" s="26"/>
      <x:c r="C82" s="26"/>
      <x:c r="D82" s="26"/>
      <x:c r="E82" s="26"/>
      <x:c r="F82" s="26"/>
      <x:c r="G82" s="26"/>
      <x:c r="H82" s="26"/>
      <x:c r="I82" s="26"/>
      <x:c r="J82" s="26"/>
      <x:c r="K82" s="26"/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</x:row>
    <x:row r="83">
      <x:c r="A83" s="26"/>
      <x:c r="B83" s="26"/>
      <x:c r="C83" s="26"/>
      <x:c r="D83" s="26"/>
      <x:c r="E83" s="26"/>
      <x:c r="F83" s="26"/>
      <x:c r="G83" s="26"/>
      <x:c r="H83" s="26"/>
      <x:c r="I83" s="26"/>
      <x:c r="J83" s="26"/>
      <x:c r="K83" s="26"/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6"/>
    </x:row>
    <x:row r="84">
      <x:c r="A84" s="26"/>
      <x:c r="B84" s="26"/>
      <x:c r="C84" s="26"/>
      <x:c r="D84" s="26"/>
      <x:c r="E84" s="26"/>
      <x:c r="F84" s="26"/>
      <x:c r="G84" s="26"/>
      <x:c r="H84" s="26"/>
      <x:c r="I84" s="26"/>
      <x:c r="J84" s="26"/>
      <x:c r="K84" s="26"/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6"/>
    </x:row>
    <x:row r="85">
      <x:c r="A85" s="26"/>
      <x:c r="B85" s="26"/>
      <x:c r="C85" s="26"/>
      <x:c r="D85" s="26"/>
      <x:c r="E85" s="26"/>
      <x:c r="F85" s="26"/>
      <x:c r="G85" s="26"/>
      <x:c r="H85" s="26"/>
      <x:c r="I85" s="26"/>
      <x:c r="J85" s="26"/>
      <x:c r="K85" s="26"/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  <x:c r="Z85" s="26"/>
    </x:row>
    <x:row r="86">
      <x:c r="A86" s="26"/>
      <x:c r="B86" s="26"/>
      <x:c r="C86" s="26"/>
      <x:c r="D86" s="26"/>
      <x:c r="E86" s="26"/>
      <x:c r="F86" s="26"/>
      <x:c r="G86" s="26"/>
      <x:c r="H86" s="26"/>
      <x:c r="I86" s="26"/>
      <x:c r="J86" s="26"/>
      <x:c r="K86" s="26"/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6"/>
    </x:row>
    <x:row r="87">
      <x:c r="A87" s="26"/>
      <x:c r="B87" s="26"/>
      <x:c r="C87" s="26"/>
      <x:c r="D87" s="26"/>
      <x:c r="E87" s="26"/>
      <x:c r="F87" s="26"/>
      <x:c r="G87" s="26"/>
      <x:c r="H87" s="26"/>
      <x:c r="I87" s="26"/>
      <x:c r="J87" s="26"/>
      <x:c r="K87" s="26"/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6"/>
    </x:row>
    <x:row r="88">
      <x:c r="A88" s="26"/>
      <x:c r="B88" s="26"/>
      <x:c r="C88" s="26"/>
      <x:c r="D88" s="26"/>
      <x:c r="E88" s="26"/>
      <x:c r="F88" s="26"/>
      <x:c r="G88" s="26"/>
      <x:c r="H88" s="26"/>
      <x:c r="I88" s="26"/>
      <x:c r="J88" s="26"/>
      <x:c r="K88" s="26"/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6"/>
    </x:row>
    <x:row r="89">
      <x:c r="A89" s="26"/>
      <x:c r="B89" s="26"/>
      <x:c r="C89" s="26"/>
      <x:c r="D89" s="26"/>
      <x:c r="E89" s="26"/>
      <x:c r="F89" s="26"/>
      <x:c r="G89" s="26"/>
      <x:c r="H89" s="26"/>
      <x:c r="I89" s="26"/>
      <x:c r="J89" s="26"/>
      <x:c r="K89" s="26"/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6"/>
    </x:row>
    <x:row r="90">
      <x:c r="A90" s="26"/>
      <x:c r="B90" s="26"/>
      <x:c r="C90" s="26"/>
      <x:c r="D90" s="26"/>
      <x:c r="E90" s="26"/>
      <x:c r="F90" s="26"/>
      <x:c r="G90" s="26"/>
      <x:c r="H90" s="26"/>
      <x:c r="I90" s="26"/>
      <x:c r="J90" s="26"/>
      <x:c r="K90" s="26"/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6"/>
    </x:row>
    <x:row r="91">
      <x:c r="A91" s="26"/>
      <x:c r="B91" s="26"/>
      <x:c r="C91" s="26"/>
      <x:c r="D91" s="26"/>
      <x:c r="E91" s="26"/>
      <x:c r="F91" s="26"/>
      <x:c r="G91" s="26"/>
      <x:c r="H91" s="26"/>
      <x:c r="I91" s="26"/>
      <x:c r="J91" s="26"/>
      <x:c r="K91" s="26"/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6"/>
    </x:row>
    <x:row r="92">
      <x:c r="A92" s="26"/>
      <x:c r="B92" s="26"/>
      <x:c r="C92" s="26"/>
      <x:c r="D92" s="26"/>
      <x:c r="E92" s="26"/>
      <x:c r="F92" s="26"/>
      <x:c r="G92" s="26"/>
      <x:c r="H92" s="26"/>
      <x:c r="I92" s="26"/>
      <x:c r="J92" s="26"/>
      <x:c r="K92" s="26"/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6"/>
    </x:row>
    <x:row r="93">
      <x:c r="A93" s="26"/>
      <x:c r="B93" s="26"/>
      <x:c r="C93" s="26"/>
      <x:c r="D93" s="26"/>
      <x:c r="E93" s="26"/>
      <x:c r="F93" s="26"/>
      <x:c r="G93" s="26"/>
      <x:c r="H93" s="26"/>
      <x:c r="I93" s="26"/>
      <x:c r="J93" s="26"/>
      <x:c r="K93" s="26"/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6"/>
    </x:row>
    <x:row r="94">
      <x:c r="A94" s="26"/>
      <x:c r="B94" s="26"/>
      <x:c r="C94" s="26"/>
      <x:c r="D94" s="26"/>
      <x:c r="E94" s="26"/>
      <x:c r="F94" s="26"/>
      <x:c r="G94" s="26"/>
      <x:c r="H94" s="26"/>
      <x:c r="I94" s="26"/>
      <x:c r="J94" s="26"/>
      <x:c r="K94" s="26"/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6"/>
    </x:row>
    <x:row r="95">
      <x:c r="A95" s="26"/>
      <x:c r="B95" s="26"/>
      <x:c r="C95" s="26"/>
      <x:c r="D95" s="26"/>
      <x:c r="E95" s="26"/>
      <x:c r="F95" s="26"/>
      <x:c r="G95" s="26"/>
      <x:c r="H95" s="26"/>
      <x:c r="I95" s="26"/>
      <x:c r="J95" s="26"/>
      <x:c r="K95" s="26"/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</x:row>
    <x:row r="96">
      <x:c r="A96" s="26"/>
      <x:c r="B96" s="26"/>
      <x:c r="C96" s="26"/>
      <x:c r="D96" s="26"/>
      <x:c r="E96" s="26"/>
      <x:c r="F96" s="26"/>
      <x:c r="G96" s="26"/>
      <x:c r="H96" s="26"/>
      <x:c r="I96" s="26"/>
      <x:c r="J96" s="26"/>
      <x:c r="K96" s="26"/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</x:row>
    <x:row r="97">
      <x:c r="A97" s="26"/>
      <x:c r="B97" s="26"/>
      <x:c r="C97" s="26"/>
      <x:c r="D97" s="26"/>
      <x:c r="E97" s="26"/>
      <x:c r="F97" s="26"/>
      <x:c r="G97" s="26"/>
      <x:c r="H97" s="26"/>
      <x:c r="I97" s="26"/>
      <x:c r="J97" s="26"/>
      <x:c r="K97" s="26"/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</x:row>
    <x:row r="98">
      <x:c r="A98" s="26"/>
      <x:c r="B98" s="26"/>
      <x:c r="C98" s="26"/>
      <x:c r="D98" s="26"/>
      <x:c r="E98" s="26"/>
      <x:c r="F98" s="26"/>
      <x:c r="G98" s="26"/>
      <x:c r="H98" s="26"/>
      <x:c r="I98" s="26"/>
      <x:c r="J98" s="26"/>
      <x:c r="K98" s="26"/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</x:row>
    <x:row r="99">
      <x:c r="A99" s="26"/>
      <x:c r="B99" s="26"/>
      <x:c r="C99" s="26"/>
      <x:c r="D99" s="26"/>
      <x:c r="E99" s="26"/>
      <x:c r="F99" s="26"/>
      <x:c r="G99" s="26"/>
      <x:c r="H99" s="26"/>
      <x:c r="I99" s="26"/>
      <x:c r="J99" s="26"/>
      <x:c r="K99" s="26"/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</x:row>
    <x:row r="100">
      <x:c r="A100" s="26"/>
      <x:c r="B100" s="26"/>
      <x:c r="C100" s="26"/>
      <x:c r="D100" s="26"/>
      <x:c r="E100" s="26"/>
      <x:c r="F100" s="26"/>
      <x:c r="G100" s="26"/>
      <x:c r="H100" s="26"/>
      <x:c r="I100" s="26"/>
      <x:c r="J100" s="26"/>
      <x:c r="K100" s="26"/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</x:row>
    <x:row r="101">
      <x:c r="A101" s="26"/>
      <x:c r="B101" s="26"/>
      <x:c r="C101" s="26"/>
      <x:c r="D101" s="26"/>
      <x:c r="E101" s="26"/>
      <x:c r="F101" s="26"/>
      <x:c r="G101" s="26"/>
      <x:c r="H101" s="26"/>
      <x:c r="I101" s="26"/>
      <x:c r="J101" s="26"/>
      <x:c r="K101" s="26"/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</x:row>
    <x:row r="102">
      <x:c r="A102" s="26"/>
      <x:c r="B102" s="26"/>
      <x:c r="C102" s="26"/>
      <x:c r="D102" s="26"/>
      <x:c r="E102" s="26"/>
      <x:c r="F102" s="26"/>
      <x:c r="G102" s="26"/>
      <x:c r="H102" s="26"/>
      <x:c r="I102" s="26"/>
      <x:c r="J102" s="26"/>
      <x:c r="K102" s="26"/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  <x:c r="Z102" s="26"/>
    </x:row>
    <x:row r="103">
      <x:c r="A103" s="26"/>
      <x:c r="B103" s="26"/>
      <x:c r="C103" s="26"/>
      <x:c r="D103" s="26"/>
      <x:c r="E103" s="26"/>
      <x:c r="F103" s="26"/>
      <x:c r="G103" s="26"/>
      <x:c r="H103" s="26"/>
      <x:c r="I103" s="26"/>
      <x:c r="J103" s="26"/>
      <x:c r="K103" s="26"/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</x:row>
    <x:row r="104">
      <x:c r="A104" s="26"/>
      <x:c r="B104" s="26"/>
      <x:c r="C104" s="26"/>
      <x:c r="D104" s="26"/>
      <x:c r="E104" s="26"/>
      <x:c r="F104" s="26"/>
      <x:c r="G104" s="26"/>
      <x:c r="H104" s="26"/>
      <x:c r="I104" s="26"/>
      <x:c r="J104" s="26"/>
      <x:c r="K104" s="26"/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</x:row>
    <x:row r="105">
      <x:c r="A105" s="26"/>
      <x:c r="B105" s="26"/>
      <x:c r="C105" s="26"/>
      <x:c r="D105" s="26"/>
      <x:c r="E105" s="26"/>
      <x:c r="F105" s="26"/>
      <x:c r="G105" s="26"/>
      <x:c r="H105" s="26"/>
      <x:c r="I105" s="26"/>
      <x:c r="J105" s="26"/>
      <x:c r="K105" s="26"/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</x:row>
    <x:row r="106">
      <x:c r="A106" s="26"/>
      <x:c r="B106" s="26"/>
      <x:c r="C106" s="26"/>
      <x:c r="D106" s="26"/>
      <x:c r="E106" s="26"/>
      <x:c r="F106" s="26"/>
      <x:c r="G106" s="26"/>
      <x:c r="H106" s="26"/>
      <x:c r="I106" s="26"/>
      <x:c r="J106" s="26"/>
      <x:c r="K106" s="26"/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</x:row>
    <x:row r="107">
      <x:c r="A107" s="26"/>
      <x:c r="B107" s="26"/>
      <x:c r="C107" s="26"/>
      <x:c r="D107" s="26"/>
      <x:c r="E107" s="26"/>
      <x:c r="F107" s="26"/>
      <x:c r="G107" s="26"/>
      <x:c r="H107" s="26"/>
      <x:c r="I107" s="26"/>
      <x:c r="J107" s="26"/>
      <x:c r="K107" s="26"/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</x:row>
    <x:row r="108">
      <x:c r="A108" s="26"/>
      <x:c r="B108" s="26"/>
      <x:c r="C108" s="26"/>
      <x:c r="D108" s="26"/>
      <x:c r="E108" s="26"/>
      <x:c r="F108" s="26"/>
      <x:c r="G108" s="26"/>
      <x:c r="H108" s="26"/>
      <x:c r="I108" s="26"/>
      <x:c r="J108" s="26"/>
      <x:c r="K108" s="26"/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</x:row>
    <x:row r="109">
      <x:c r="A109" s="26"/>
      <x:c r="B109" s="26"/>
      <x:c r="C109" s="26"/>
      <x:c r="D109" s="26"/>
      <x:c r="E109" s="26"/>
      <x:c r="F109" s="26"/>
      <x:c r="G109" s="26"/>
      <x:c r="H109" s="26"/>
      <x:c r="I109" s="26"/>
      <x:c r="J109" s="26"/>
      <x:c r="K109" s="26"/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</x:row>
    <x:row r="110">
      <x:c r="A110" s="26"/>
      <x:c r="B110" s="26"/>
      <x:c r="C110" s="26"/>
      <x:c r="D110" s="26"/>
      <x:c r="E110" s="26"/>
      <x:c r="F110" s="26"/>
      <x:c r="G110" s="26"/>
      <x:c r="H110" s="26"/>
      <x:c r="I110" s="26"/>
      <x:c r="J110" s="26"/>
      <x:c r="K110" s="26"/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</x:row>
    <x:row r="111">
      <x:c r="A111" s="26"/>
      <x:c r="B111" s="26"/>
      <x:c r="C111" s="26"/>
      <x:c r="D111" s="26"/>
      <x:c r="E111" s="26"/>
      <x:c r="F111" s="26"/>
      <x:c r="G111" s="26"/>
      <x:c r="H111" s="26"/>
      <x:c r="I111" s="26"/>
      <x:c r="J111" s="26"/>
      <x:c r="K111" s="26"/>
      <x:c r="L111" s="26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/>
      <x:c r="Y111" s="26"/>
      <x:c r="Z111" s="26"/>
    </x:row>
    <x:row r="112">
      <x:c r="A112" s="26"/>
      <x:c r="B112" s="26"/>
      <x:c r="C112" s="26"/>
      <x:c r="D112" s="26"/>
      <x:c r="E112" s="26"/>
      <x:c r="F112" s="26"/>
      <x:c r="G112" s="26"/>
      <x:c r="H112" s="26"/>
      <x:c r="I112" s="26"/>
      <x:c r="J112" s="26"/>
      <x:c r="K112" s="26"/>
      <x:c r="L112" s="26"/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/>
      <x:c r="Z112" s="26"/>
    </x:row>
    <x:row r="113">
      <x:c r="A113" s="26"/>
      <x:c r="B113" s="26"/>
      <x:c r="C113" s="26"/>
      <x:c r="D113" s="26"/>
      <x:c r="E113" s="26"/>
      <x:c r="F113" s="26"/>
      <x:c r="G113" s="26"/>
      <x:c r="H113" s="26"/>
      <x:c r="I113" s="26"/>
      <x:c r="J113" s="26"/>
      <x:c r="K113" s="26"/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6"/>
    </x:row>
    <x:row r="114">
      <x:c r="A114" s="26"/>
      <x:c r="B114" s="26"/>
      <x:c r="C114" s="26"/>
      <x:c r="D114" s="26"/>
      <x:c r="E114" s="26"/>
      <x:c r="F114" s="26"/>
      <x:c r="G114" s="26"/>
      <x:c r="H114" s="26"/>
      <x:c r="I114" s="26"/>
      <x:c r="J114" s="26"/>
      <x:c r="K114" s="26"/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</x:row>
    <x:row r="115">
      <x:c r="A115" s="26"/>
      <x:c r="B115" s="26"/>
      <x:c r="C115" s="26"/>
      <x:c r="D115" s="26"/>
      <x:c r="E115" s="26"/>
      <x:c r="F115" s="26"/>
      <x:c r="G115" s="26"/>
      <x:c r="H115" s="26"/>
      <x:c r="I115" s="26"/>
      <x:c r="J115" s="26"/>
      <x:c r="K115" s="26"/>
      <x:c r="L115" s="26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6"/>
    </x:row>
    <x:row r="116">
      <x:c r="A116" s="26"/>
      <x:c r="B116" s="26"/>
      <x:c r="C116" s="26"/>
      <x:c r="D116" s="26"/>
      <x:c r="E116" s="26"/>
      <x:c r="F116" s="26"/>
      <x:c r="G116" s="26"/>
      <x:c r="H116" s="26"/>
      <x:c r="I116" s="26"/>
      <x:c r="J116" s="26"/>
      <x:c r="K116" s="26"/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</x:row>
    <x:row r="117">
      <x:c r="A117" s="26"/>
      <x:c r="B117" s="26"/>
      <x:c r="C117" s="26"/>
      <x:c r="D117" s="26"/>
      <x:c r="E117" s="26"/>
      <x:c r="F117" s="26"/>
      <x:c r="G117" s="26"/>
      <x:c r="H117" s="26"/>
      <x:c r="I117" s="26"/>
      <x:c r="J117" s="26"/>
      <x:c r="K117" s="26"/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</x:row>
    <x:row r="118">
      <x:c r="A118" s="26"/>
      <x:c r="B118" s="26"/>
      <x:c r="C118" s="26"/>
      <x:c r="D118" s="26"/>
      <x:c r="E118" s="26"/>
      <x:c r="F118" s="26"/>
      <x:c r="G118" s="26"/>
      <x:c r="H118" s="26"/>
      <x:c r="I118" s="26"/>
      <x:c r="J118" s="26"/>
      <x:c r="K118" s="26"/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</x:row>
    <x:row r="119">
      <x:c r="A119" s="26"/>
      <x:c r="B119" s="26"/>
      <x:c r="C119" s="26"/>
      <x:c r="D119" s="26"/>
      <x:c r="E119" s="26"/>
      <x:c r="F119" s="26"/>
      <x:c r="G119" s="26"/>
      <x:c r="H119" s="26"/>
      <x:c r="I119" s="26"/>
      <x:c r="J119" s="26"/>
      <x:c r="K119" s="26"/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</x:row>
    <x:row r="120">
      <x:c r="A120" s="26"/>
      <x:c r="B120" s="26"/>
      <x:c r="C120" s="26"/>
      <x:c r="D120" s="26"/>
      <x:c r="E120" s="26"/>
      <x:c r="F120" s="26"/>
      <x:c r="G120" s="26"/>
      <x:c r="H120" s="26"/>
      <x:c r="I120" s="26"/>
      <x:c r="J120" s="26"/>
      <x:c r="K120" s="26"/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</x:row>
    <x:row r="121">
      <x:c r="A121" s="26"/>
      <x:c r="B121" s="26"/>
      <x:c r="C121" s="26"/>
      <x:c r="D121" s="26"/>
      <x:c r="E121" s="26"/>
      <x:c r="F121" s="26"/>
      <x:c r="G121" s="26"/>
      <x:c r="H121" s="26"/>
      <x:c r="I121" s="26"/>
      <x:c r="J121" s="26"/>
      <x:c r="K121" s="26"/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6"/>
    </x:row>
    <x:row r="122">
      <x:c r="A122" s="26"/>
      <x:c r="B122" s="26"/>
      <x:c r="C122" s="26"/>
      <x:c r="D122" s="26"/>
      <x:c r="E122" s="26"/>
      <x:c r="F122" s="26"/>
      <x:c r="G122" s="26"/>
      <x:c r="H122" s="26"/>
      <x:c r="I122" s="26"/>
      <x:c r="J122" s="26"/>
      <x:c r="K122" s="26"/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6"/>
    </x:row>
    <x:row r="123">
      <x:c r="A123" s="26"/>
      <x:c r="B123" s="26"/>
      <x:c r="C123" s="26"/>
      <x:c r="D123" s="26"/>
      <x:c r="E123" s="26"/>
      <x:c r="F123" s="26"/>
      <x:c r="G123" s="26"/>
      <x:c r="H123" s="26"/>
      <x:c r="I123" s="26"/>
      <x:c r="J123" s="26"/>
      <x:c r="K123" s="26"/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6"/>
    </x:row>
    <x:row r="124">
      <x:c r="A124" s="26"/>
      <x:c r="B124" s="26"/>
      <x:c r="C124" s="26"/>
      <x:c r="D124" s="26"/>
      <x:c r="E124" s="26"/>
      <x:c r="F124" s="26"/>
      <x:c r="G124" s="26"/>
      <x:c r="H124" s="26"/>
      <x:c r="I124" s="26"/>
      <x:c r="J124" s="26"/>
      <x:c r="K124" s="26"/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</x:row>
    <x:row r="125">
      <x:c r="A125" s="26"/>
      <x:c r="B125" s="26"/>
      <x:c r="C125" s="26"/>
      <x:c r="D125" s="26"/>
      <x:c r="E125" s="26"/>
      <x:c r="F125" s="26"/>
      <x:c r="G125" s="26"/>
      <x:c r="H125" s="26"/>
      <x:c r="I125" s="26"/>
      <x:c r="J125" s="26"/>
      <x:c r="K125" s="26"/>
      <x:c r="L125" s="26"/>
      <x:c r="M125" s="26"/>
      <x:c r="N125" s="26"/>
      <x:c r="O125" s="26"/>
      <x:c r="P125" s="26"/>
      <x:c r="Q125" s="26"/>
      <x:c r="R125" s="26"/>
      <x:c r="S125" s="26"/>
      <x:c r="T125" s="26"/>
      <x:c r="U125" s="26"/>
      <x:c r="V125" s="26"/>
      <x:c r="W125" s="26"/>
      <x:c r="X125" s="26"/>
      <x:c r="Y125" s="26"/>
      <x:c r="Z125" s="26"/>
    </x:row>
    <x:row r="126">
      <x:c r="A126" s="26"/>
      <x:c r="B126" s="26"/>
      <x:c r="C126" s="26"/>
      <x:c r="D126" s="26"/>
      <x:c r="E126" s="26"/>
      <x:c r="F126" s="26"/>
      <x:c r="G126" s="26"/>
      <x:c r="H126" s="26"/>
      <x:c r="I126" s="26"/>
      <x:c r="J126" s="26"/>
      <x:c r="K126" s="26"/>
      <x:c r="L126" s="26"/>
      <x:c r="M126" s="26"/>
      <x:c r="N126" s="26"/>
      <x:c r="O126" s="26"/>
      <x:c r="P126" s="26"/>
      <x:c r="Q126" s="26"/>
      <x:c r="R126" s="26"/>
      <x:c r="S126" s="26"/>
      <x:c r="T126" s="26"/>
      <x:c r="U126" s="26"/>
      <x:c r="V126" s="26"/>
      <x:c r="W126" s="26"/>
      <x:c r="X126" s="26"/>
      <x:c r="Y126" s="26"/>
      <x:c r="Z126" s="26"/>
    </x:row>
    <x:row r="127">
      <x:c r="A127" s="26"/>
      <x:c r="B127" s="26"/>
      <x:c r="C127" s="26"/>
      <x:c r="D127" s="26"/>
      <x:c r="E127" s="26"/>
      <x:c r="F127" s="26"/>
      <x:c r="G127" s="26"/>
      <x:c r="H127" s="26"/>
      <x:c r="I127" s="26"/>
      <x:c r="J127" s="26"/>
      <x:c r="K127" s="26"/>
      <x:c r="L127" s="26"/>
      <x:c r="M127" s="26"/>
      <x:c r="N127" s="26"/>
      <x:c r="O127" s="26"/>
      <x:c r="P127" s="26"/>
      <x:c r="Q127" s="26"/>
      <x:c r="R127" s="26"/>
      <x:c r="S127" s="26"/>
      <x:c r="T127" s="26"/>
      <x:c r="U127" s="26"/>
      <x:c r="V127" s="26"/>
      <x:c r="W127" s="26"/>
      <x:c r="X127" s="26"/>
      <x:c r="Y127" s="26"/>
      <x:c r="Z127" s="26"/>
    </x:row>
    <x:row r="128">
      <x:c r="A128" s="26"/>
      <x:c r="B128" s="26"/>
      <x:c r="C128" s="26"/>
      <x:c r="D128" s="26"/>
      <x:c r="E128" s="26"/>
      <x:c r="F128" s="26"/>
      <x:c r="G128" s="26"/>
      <x:c r="H128" s="26"/>
      <x:c r="I128" s="26"/>
      <x:c r="J128" s="26"/>
      <x:c r="K128" s="26"/>
      <x:c r="L128" s="26"/>
      <x:c r="M128" s="26"/>
      <x:c r="N128" s="26"/>
      <x:c r="O128" s="26"/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6"/>
    </x:row>
    <x:row r="129">
      <x:c r="A129" s="26"/>
      <x:c r="B129" s="26"/>
      <x:c r="C129" s="26"/>
      <x:c r="D129" s="26"/>
      <x:c r="E129" s="26"/>
      <x:c r="F129" s="26"/>
      <x:c r="G129" s="26"/>
      <x:c r="H129" s="26"/>
      <x:c r="I129" s="26"/>
      <x:c r="J129" s="26"/>
      <x:c r="K129" s="26"/>
      <x:c r="L129" s="26"/>
      <x:c r="M129" s="26"/>
      <x:c r="N129" s="26"/>
      <x:c r="O129" s="26"/>
      <x:c r="P129" s="26"/>
      <x:c r="Q129" s="26"/>
      <x:c r="R129" s="26"/>
      <x:c r="S129" s="26"/>
      <x:c r="T129" s="26"/>
      <x:c r="U129" s="26"/>
      <x:c r="V129" s="26"/>
      <x:c r="W129" s="26"/>
      <x:c r="X129" s="26"/>
      <x:c r="Y129" s="26"/>
      <x:c r="Z129" s="26"/>
    </x:row>
    <x:row r="130">
      <x:c r="A130" s="26"/>
      <x:c r="B130" s="26"/>
      <x:c r="C130" s="26"/>
      <x:c r="D130" s="26"/>
      <x:c r="E130" s="26"/>
      <x:c r="F130" s="26"/>
      <x:c r="G130" s="26"/>
      <x:c r="H130" s="26"/>
      <x:c r="I130" s="26"/>
      <x:c r="J130" s="26"/>
      <x:c r="K130" s="26"/>
      <x:c r="L130" s="26"/>
      <x:c r="M130" s="26"/>
      <x:c r="N130" s="26"/>
      <x:c r="O130" s="26"/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/>
      <x:c r="Z130" s="26"/>
    </x:row>
    <x:row r="131">
      <x:c r="A131" s="26"/>
      <x:c r="B131" s="26"/>
      <x:c r="C131" s="26"/>
      <x:c r="D131" s="26"/>
      <x:c r="E131" s="26"/>
      <x:c r="F131" s="26"/>
      <x:c r="G131" s="26"/>
      <x:c r="H131" s="26"/>
      <x:c r="I131" s="26"/>
      <x:c r="J131" s="26"/>
      <x:c r="K131" s="26"/>
      <x:c r="L131" s="26"/>
      <x:c r="M131" s="26"/>
      <x:c r="N131" s="26"/>
      <x:c r="O131" s="26"/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6"/>
    </x:row>
    <x:row r="132">
      <x:c r="A132" s="26"/>
      <x:c r="B132" s="26"/>
      <x:c r="C132" s="26"/>
      <x:c r="D132" s="26"/>
      <x:c r="E132" s="26"/>
      <x:c r="F132" s="26"/>
      <x:c r="G132" s="26"/>
      <x:c r="H132" s="26"/>
      <x:c r="I132" s="26"/>
      <x:c r="J132" s="26"/>
      <x:c r="K132" s="26"/>
      <x:c r="L132" s="26"/>
      <x:c r="M132" s="26"/>
      <x:c r="N132" s="26"/>
      <x:c r="O132" s="26"/>
      <x:c r="P132" s="26"/>
      <x:c r="Q132" s="26"/>
      <x:c r="R132" s="26"/>
      <x:c r="S132" s="26"/>
      <x:c r="T132" s="26"/>
      <x:c r="U132" s="26"/>
      <x:c r="V132" s="26"/>
      <x:c r="W132" s="26"/>
      <x:c r="X132" s="26"/>
      <x:c r="Y132" s="26"/>
      <x:c r="Z132" s="26"/>
    </x:row>
    <x:row r="133">
      <x:c r="A133" s="26"/>
      <x:c r="B133" s="26"/>
      <x:c r="C133" s="26"/>
      <x:c r="D133" s="26"/>
      <x:c r="E133" s="26"/>
      <x:c r="F133" s="26"/>
      <x:c r="G133" s="26"/>
      <x:c r="H133" s="26"/>
      <x:c r="I133" s="26"/>
      <x:c r="J133" s="26"/>
      <x:c r="K133" s="26"/>
      <x:c r="L133" s="26"/>
      <x:c r="M133" s="26"/>
      <x:c r="N133" s="26"/>
      <x:c r="O133" s="26"/>
      <x:c r="P133" s="26"/>
      <x:c r="Q133" s="26"/>
      <x:c r="R133" s="26"/>
      <x:c r="S133" s="26"/>
      <x:c r="T133" s="26"/>
      <x:c r="U133" s="26"/>
      <x:c r="V133" s="26"/>
      <x:c r="W133" s="26"/>
      <x:c r="X133" s="26"/>
      <x:c r="Y133" s="26"/>
      <x:c r="Z133" s="26"/>
    </x:row>
    <x:row r="134">
      <x:c r="A134" s="26"/>
      <x:c r="B134" s="26"/>
      <x:c r="C134" s="26"/>
      <x:c r="D134" s="26"/>
      <x:c r="E134" s="26"/>
      <x:c r="F134" s="26"/>
      <x:c r="G134" s="26"/>
      <x:c r="H134" s="26"/>
      <x:c r="I134" s="26"/>
      <x:c r="J134" s="26"/>
      <x:c r="K134" s="26"/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6"/>
    </x:row>
    <x:row r="135">
      <x:c r="A135" s="26"/>
      <x:c r="B135" s="26"/>
      <x:c r="C135" s="26"/>
      <x:c r="D135" s="26"/>
      <x:c r="E135" s="26"/>
      <x:c r="F135" s="26"/>
      <x:c r="G135" s="26"/>
      <x:c r="H135" s="26"/>
      <x:c r="I135" s="26"/>
      <x:c r="J135" s="26"/>
      <x:c r="K135" s="26"/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</x:row>
    <x:row r="136">
      <x:c r="A136" s="26"/>
      <x:c r="B136" s="26"/>
      <x:c r="C136" s="26"/>
      <x:c r="D136" s="26"/>
      <x:c r="E136" s="26"/>
      <x:c r="F136" s="26"/>
      <x:c r="G136" s="26"/>
      <x:c r="H136" s="26"/>
      <x:c r="I136" s="26"/>
      <x:c r="J136" s="26"/>
      <x:c r="K136" s="26"/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</x:row>
    <x:row r="137">
      <x:c r="A137" s="26"/>
      <x:c r="B137" s="26"/>
      <x:c r="C137" s="26"/>
      <x:c r="D137" s="26"/>
      <x:c r="E137" s="26"/>
      <x:c r="F137" s="26"/>
      <x:c r="G137" s="26"/>
      <x:c r="H137" s="26"/>
      <x:c r="I137" s="26"/>
      <x:c r="J137" s="26"/>
      <x:c r="K137" s="26"/>
      <x:c r="L137" s="26"/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</x:row>
    <x:row r="138">
      <x:c r="A138" s="26"/>
      <x:c r="B138" s="26"/>
      <x:c r="C138" s="26"/>
      <x:c r="D138" s="26"/>
      <x:c r="E138" s="26"/>
      <x:c r="F138" s="26"/>
      <x:c r="G138" s="26"/>
      <x:c r="H138" s="26"/>
      <x:c r="I138" s="26"/>
      <x:c r="J138" s="26"/>
      <x:c r="K138" s="26"/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</x:row>
    <x:row r="139">
      <x:c r="A139" s="26"/>
      <x:c r="B139" s="26"/>
      <x:c r="C139" s="26"/>
      <x:c r="D139" s="26"/>
      <x:c r="E139" s="26"/>
      <x:c r="F139" s="26"/>
      <x:c r="G139" s="26"/>
      <x:c r="H139" s="26"/>
      <x:c r="I139" s="26"/>
      <x:c r="J139" s="26"/>
      <x:c r="K139" s="26"/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</x:row>
    <x:row r="140">
      <x:c r="A140" s="26"/>
      <x:c r="B140" s="26"/>
      <x:c r="C140" s="26"/>
      <x:c r="D140" s="26"/>
      <x:c r="E140" s="26"/>
      <x:c r="F140" s="26"/>
      <x:c r="G140" s="26"/>
      <x:c r="H140" s="26"/>
      <x:c r="I140" s="26"/>
      <x:c r="J140" s="26"/>
      <x:c r="K140" s="26"/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</x:row>
    <x:row r="141">
      <x:c r="A141" s="26"/>
      <x:c r="B141" s="26"/>
      <x:c r="C141" s="26"/>
      <x:c r="D141" s="26"/>
      <x:c r="E141" s="26"/>
      <x:c r="F141" s="26"/>
      <x:c r="G141" s="26"/>
      <x:c r="H141" s="26"/>
      <x:c r="I141" s="26"/>
      <x:c r="J141" s="26"/>
      <x:c r="K141" s="26"/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</x:row>
    <x:row r="142">
      <x:c r="A142" s="26"/>
      <x:c r="B142" s="26"/>
      <x:c r="C142" s="26"/>
      <x:c r="D142" s="26"/>
      <x:c r="E142" s="26"/>
      <x:c r="F142" s="26"/>
      <x:c r="G142" s="26"/>
      <x:c r="H142" s="26"/>
      <x:c r="I142" s="26"/>
      <x:c r="J142" s="26"/>
      <x:c r="K142" s="26"/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/>
      <x:c r="Z142" s="26"/>
    </x:row>
    <x:row r="143">
      <x:c r="A143" s="26"/>
      <x:c r="B143" s="26"/>
      <x:c r="C143" s="26"/>
      <x:c r="D143" s="26"/>
      <x:c r="E143" s="26"/>
      <x:c r="F143" s="26"/>
      <x:c r="G143" s="26"/>
      <x:c r="H143" s="26"/>
      <x:c r="I143" s="26"/>
      <x:c r="J143" s="26"/>
      <x:c r="K143" s="26"/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</x:row>
    <x:row r="144">
      <x:c r="A144" s="26"/>
      <x:c r="B144" s="26"/>
      <x:c r="C144" s="26"/>
      <x:c r="D144" s="26"/>
      <x:c r="E144" s="26"/>
      <x:c r="F144" s="26"/>
      <x:c r="G144" s="26"/>
      <x:c r="H144" s="26"/>
      <x:c r="I144" s="26"/>
      <x:c r="J144" s="26"/>
      <x:c r="K144" s="26"/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</x:row>
    <x:row r="145">
      <x:c r="A145" s="26"/>
      <x:c r="B145" s="26"/>
      <x:c r="C145" s="26"/>
      <x:c r="D145" s="26"/>
      <x:c r="E145" s="26"/>
      <x:c r="F145" s="26"/>
      <x:c r="G145" s="26"/>
      <x:c r="H145" s="26"/>
      <x:c r="I145" s="26"/>
      <x:c r="J145" s="26"/>
      <x:c r="K145" s="26"/>
      <x:c r="L145" s="26"/>
      <x:c r="M145" s="26"/>
      <x:c r="N145" s="26"/>
      <x:c r="O145" s="26"/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6"/>
    </x:row>
    <x:row r="146">
      <x:c r="A146" s="26"/>
      <x:c r="B146" s="26"/>
      <x:c r="C146" s="26"/>
      <x:c r="D146" s="26"/>
      <x:c r="E146" s="26"/>
      <x:c r="F146" s="26"/>
      <x:c r="G146" s="26"/>
      <x:c r="H146" s="26"/>
      <x:c r="I146" s="26"/>
      <x:c r="J146" s="26"/>
      <x:c r="K146" s="26"/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6"/>
    </x:row>
    <x:row r="147">
      <x:c r="A147" s="26"/>
      <x:c r="B147" s="26"/>
      <x:c r="C147" s="26"/>
      <x:c r="D147" s="26"/>
      <x:c r="E147" s="26"/>
      <x:c r="F147" s="26"/>
      <x:c r="G147" s="26"/>
      <x:c r="H147" s="26"/>
      <x:c r="I147" s="26"/>
      <x:c r="J147" s="26"/>
      <x:c r="K147" s="26"/>
      <x:c r="L147" s="26"/>
      <x:c r="M147" s="26"/>
      <x:c r="N147" s="26"/>
      <x:c r="O147" s="26"/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6"/>
    </x:row>
    <x:row r="148">
      <x:c r="A148" s="26"/>
      <x:c r="B148" s="26"/>
      <x:c r="C148" s="26"/>
      <x:c r="D148" s="26"/>
      <x:c r="E148" s="26"/>
      <x:c r="F148" s="26"/>
      <x:c r="G148" s="26"/>
      <x:c r="H148" s="26"/>
      <x:c r="I148" s="26"/>
      <x:c r="J148" s="26"/>
      <x:c r="K148" s="26"/>
      <x:c r="L148" s="26"/>
      <x:c r="M148" s="26"/>
      <x:c r="N148" s="26"/>
      <x:c r="O148" s="26"/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6"/>
    </x:row>
    <x:row r="149">
      <x:c r="A149" s="26"/>
      <x:c r="B149" s="26"/>
      <x:c r="C149" s="26"/>
      <x:c r="D149" s="26"/>
      <x:c r="E149" s="26"/>
      <x:c r="F149" s="26"/>
      <x:c r="G149" s="26"/>
      <x:c r="H149" s="26"/>
      <x:c r="I149" s="26"/>
      <x:c r="J149" s="26"/>
      <x:c r="K149" s="26"/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6"/>
    </x:row>
    <x:row r="150">
      <x:c r="A150" s="26"/>
      <x:c r="B150" s="26"/>
      <x:c r="C150" s="26"/>
      <x:c r="D150" s="26"/>
      <x:c r="E150" s="26"/>
      <x:c r="F150" s="26"/>
      <x:c r="G150" s="26"/>
      <x:c r="H150" s="26"/>
      <x:c r="I150" s="26"/>
      <x:c r="J150" s="26"/>
      <x:c r="K150" s="26"/>
      <x:c r="L150" s="26"/>
      <x:c r="M150" s="26"/>
      <x:c r="N150" s="26"/>
      <x:c r="O150" s="26"/>
      <x:c r="P150" s="26"/>
      <x:c r="Q150" s="26"/>
      <x:c r="R150" s="26"/>
      <x:c r="S150" s="26"/>
      <x:c r="T150" s="26"/>
      <x:c r="U150" s="26"/>
      <x:c r="V150" s="26"/>
      <x:c r="W150" s="26"/>
      <x:c r="X150" s="26"/>
      <x:c r="Y150" s="26"/>
      <x:c r="Z150" s="26"/>
    </x:row>
    <x:row r="151">
      <x:c r="A151" s="26"/>
      <x:c r="B151" s="26"/>
      <x:c r="C151" s="26"/>
      <x:c r="D151" s="26"/>
      <x:c r="E151" s="26"/>
      <x:c r="F151" s="26"/>
      <x:c r="G151" s="26"/>
      <x:c r="H151" s="26"/>
      <x:c r="I151" s="26"/>
      <x:c r="J151" s="26"/>
      <x:c r="K151" s="26"/>
      <x:c r="L151" s="26"/>
      <x:c r="M151" s="26"/>
      <x:c r="N151" s="26"/>
      <x:c r="O151" s="26"/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/>
      <x:c r="Z151" s="26"/>
    </x:row>
    <x:row r="152">
      <x:c r="A152" s="26"/>
      <x:c r="B152" s="26"/>
      <x:c r="C152" s="26"/>
      <x:c r="D152" s="26"/>
      <x:c r="E152" s="26"/>
      <x:c r="F152" s="26"/>
      <x:c r="G152" s="26"/>
      <x:c r="H152" s="26"/>
      <x:c r="I152" s="26"/>
      <x:c r="J152" s="26"/>
      <x:c r="K152" s="26"/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/>
      <x:c r="W152" s="26"/>
      <x:c r="X152" s="26"/>
      <x:c r="Y152" s="26"/>
      <x:c r="Z152" s="26"/>
    </x:row>
    <x:row r="153">
      <x:c r="A153" s="26"/>
      <x:c r="B153" s="26"/>
      <x:c r="C153" s="26"/>
      <x:c r="D153" s="26"/>
      <x:c r="E153" s="26"/>
      <x:c r="F153" s="26"/>
      <x:c r="G153" s="26"/>
      <x:c r="H153" s="26"/>
      <x:c r="I153" s="26"/>
      <x:c r="J153" s="26"/>
      <x:c r="K153" s="26"/>
      <x:c r="L153" s="26"/>
      <x:c r="M153" s="26"/>
      <x:c r="N153" s="26"/>
      <x:c r="O153" s="26"/>
      <x:c r="P153" s="26"/>
      <x:c r="Q153" s="26"/>
      <x:c r="R153" s="26"/>
      <x:c r="S153" s="26"/>
      <x:c r="T153" s="26"/>
      <x:c r="U153" s="26"/>
      <x:c r="V153" s="26"/>
      <x:c r="W153" s="26"/>
      <x:c r="X153" s="26"/>
      <x:c r="Y153" s="26"/>
      <x:c r="Z153" s="26"/>
    </x:row>
    <x:row r="154">
      <x:c r="A154" s="26"/>
      <x:c r="B154" s="26"/>
      <x:c r="C154" s="26"/>
      <x:c r="D154" s="26"/>
      <x:c r="E154" s="26"/>
      <x:c r="F154" s="26"/>
      <x:c r="G154" s="26"/>
      <x:c r="H154" s="26"/>
      <x:c r="I154" s="26"/>
      <x:c r="J154" s="26"/>
      <x:c r="K154" s="26"/>
      <x:c r="L154" s="26"/>
      <x:c r="M154" s="26"/>
      <x:c r="N154" s="26"/>
      <x:c r="O154" s="26"/>
      <x:c r="P154" s="26"/>
      <x:c r="Q154" s="26"/>
      <x:c r="R154" s="26"/>
      <x:c r="S154" s="26"/>
      <x:c r="T154" s="26"/>
      <x:c r="U154" s="26"/>
      <x:c r="V154" s="26"/>
      <x:c r="W154" s="26"/>
      <x:c r="X154" s="26"/>
      <x:c r="Y154" s="26"/>
      <x:c r="Z154" s="26"/>
    </x:row>
    <x:row r="155">
      <x:c r="A155" s="26"/>
      <x:c r="B155" s="26"/>
      <x:c r="C155" s="26"/>
      <x:c r="D155" s="26"/>
      <x:c r="E155" s="26"/>
      <x:c r="F155" s="26"/>
      <x:c r="G155" s="26"/>
      <x:c r="H155" s="26"/>
      <x:c r="I155" s="26"/>
      <x:c r="J155" s="26"/>
      <x:c r="K155" s="26"/>
      <x:c r="L155" s="26"/>
      <x:c r="M155" s="26"/>
      <x:c r="N155" s="26"/>
      <x:c r="O155" s="26"/>
      <x:c r="P155" s="26"/>
      <x:c r="Q155" s="26"/>
      <x:c r="R155" s="26"/>
      <x:c r="S155" s="26"/>
      <x:c r="T155" s="26"/>
      <x:c r="U155" s="26"/>
      <x:c r="V155" s="26"/>
      <x:c r="W155" s="26"/>
      <x:c r="X155" s="26"/>
      <x:c r="Y155" s="26"/>
      <x:c r="Z155" s="26"/>
    </x:row>
    <x:row r="156">
      <x:c r="A156" s="26"/>
      <x:c r="B156" s="26"/>
      <x:c r="C156" s="26"/>
      <x:c r="D156" s="26"/>
      <x:c r="E156" s="26"/>
      <x:c r="F156" s="26"/>
      <x:c r="G156" s="26"/>
      <x:c r="H156" s="26"/>
      <x:c r="I156" s="26"/>
      <x:c r="J156" s="26"/>
      <x:c r="K156" s="26"/>
      <x:c r="L156" s="26"/>
      <x:c r="M156" s="26"/>
      <x:c r="N156" s="26"/>
      <x:c r="O156" s="26"/>
      <x:c r="P156" s="26"/>
      <x:c r="Q156" s="26"/>
      <x:c r="R156" s="26"/>
      <x:c r="S156" s="26"/>
      <x:c r="T156" s="26"/>
      <x:c r="U156" s="26"/>
      <x:c r="V156" s="26"/>
      <x:c r="W156" s="26"/>
      <x:c r="X156" s="26"/>
      <x:c r="Y156" s="26"/>
      <x:c r="Z156" s="26"/>
    </x:row>
    <x:row r="157">
      <x:c r="A157" s="26"/>
      <x:c r="B157" s="26"/>
      <x:c r="C157" s="26"/>
      <x:c r="D157" s="26"/>
      <x:c r="E157" s="26"/>
      <x:c r="F157" s="26"/>
      <x:c r="G157" s="26"/>
      <x:c r="H157" s="26"/>
      <x:c r="I157" s="26"/>
      <x:c r="J157" s="26"/>
      <x:c r="K157" s="26"/>
      <x:c r="L157" s="26"/>
      <x:c r="M157" s="26"/>
      <x:c r="N157" s="26"/>
      <x:c r="O157" s="26"/>
      <x:c r="P157" s="26"/>
      <x:c r="Q157" s="26"/>
      <x:c r="R157" s="26"/>
      <x:c r="S157" s="26"/>
      <x:c r="T157" s="26"/>
      <x:c r="U157" s="26"/>
      <x:c r="V157" s="26"/>
      <x:c r="W157" s="26"/>
      <x:c r="X157" s="26"/>
      <x:c r="Y157" s="26"/>
      <x:c r="Z157" s="26"/>
    </x:row>
    <x:row r="158">
      <x:c r="A158" s="26"/>
      <x:c r="B158" s="26"/>
      <x:c r="C158" s="26"/>
      <x:c r="D158" s="26"/>
      <x:c r="E158" s="26"/>
      <x:c r="F158" s="26"/>
      <x:c r="G158" s="26"/>
      <x:c r="H158" s="26"/>
      <x:c r="I158" s="26"/>
      <x:c r="J158" s="26"/>
      <x:c r="K158" s="26"/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</x:row>
    <x:row r="159">
      <x:c r="A159" s="26"/>
      <x:c r="B159" s="26"/>
      <x:c r="C159" s="26"/>
      <x:c r="D159" s="26"/>
      <x:c r="E159" s="26"/>
      <x:c r="F159" s="26"/>
      <x:c r="G159" s="26"/>
      <x:c r="H159" s="26"/>
      <x:c r="I159" s="26"/>
      <x:c r="J159" s="26"/>
      <x:c r="K159" s="26"/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</x:row>
    <x:row r="160">
      <x:c r="A160" s="26"/>
      <x:c r="B160" s="26"/>
      <x:c r="C160" s="26"/>
      <x:c r="D160" s="26"/>
      <x:c r="E160" s="26"/>
      <x:c r="F160" s="26"/>
      <x:c r="G160" s="26"/>
      <x:c r="H160" s="26"/>
      <x:c r="I160" s="26"/>
      <x:c r="J160" s="26"/>
      <x:c r="K160" s="26"/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</x:row>
    <x:row r="161">
      <x:c r="A161" s="26"/>
      <x:c r="B161" s="26"/>
      <x:c r="C161" s="26"/>
      <x:c r="D161" s="26"/>
      <x:c r="E161" s="26"/>
      <x:c r="F161" s="26"/>
      <x:c r="G161" s="26"/>
      <x:c r="H161" s="26"/>
      <x:c r="I161" s="26"/>
      <x:c r="J161" s="26"/>
      <x:c r="K161" s="26"/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</x:row>
    <x:row r="162">
      <x:c r="A162" s="26"/>
      <x:c r="B162" s="26"/>
      <x:c r="C162" s="26"/>
      <x:c r="D162" s="26"/>
      <x:c r="E162" s="26"/>
      <x:c r="F162" s="26"/>
      <x:c r="G162" s="26"/>
      <x:c r="H162" s="26"/>
      <x:c r="I162" s="26"/>
      <x:c r="J162" s="26"/>
      <x:c r="K162" s="26"/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</x:row>
    <x:row r="163">
      <x:c r="A163" s="26"/>
      <x:c r="B163" s="26"/>
      <x:c r="C163" s="26"/>
      <x:c r="D163" s="26"/>
      <x:c r="E163" s="26"/>
      <x:c r="F163" s="26"/>
      <x:c r="G163" s="26"/>
      <x:c r="H163" s="26"/>
      <x:c r="I163" s="26"/>
      <x:c r="J163" s="26"/>
      <x:c r="K163" s="26"/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</x:row>
    <x:row r="164">
      <x:c r="A164" s="26"/>
      <x:c r="B164" s="26"/>
      <x:c r="C164" s="26"/>
      <x:c r="D164" s="26"/>
      <x:c r="E164" s="26"/>
      <x:c r="F164" s="26"/>
      <x:c r="G164" s="26"/>
      <x:c r="H164" s="26"/>
      <x:c r="I164" s="26"/>
      <x:c r="J164" s="26"/>
      <x:c r="K164" s="26"/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</x:row>
    <x:row r="165">
      <x:c r="A165" s="26"/>
      <x:c r="B165" s="26"/>
      <x:c r="C165" s="26"/>
      <x:c r="D165" s="26"/>
      <x:c r="E165" s="26"/>
      <x:c r="F165" s="26"/>
      <x:c r="G165" s="26"/>
      <x:c r="H165" s="26"/>
      <x:c r="I165" s="26"/>
      <x:c r="J165" s="26"/>
      <x:c r="K165" s="26"/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</x:row>
    <x:row r="166">
      <x:c r="A166" s="26"/>
      <x:c r="B166" s="26"/>
      <x:c r="C166" s="26"/>
      <x:c r="D166" s="26"/>
      <x:c r="E166" s="26"/>
      <x:c r="F166" s="26"/>
      <x:c r="G166" s="26"/>
      <x:c r="H166" s="26"/>
      <x:c r="I166" s="26"/>
      <x:c r="J166" s="26"/>
      <x:c r="K166" s="26"/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</x:row>
    <x:row r="167">
      <x:c r="A167" s="26"/>
      <x:c r="B167" s="26"/>
      <x:c r="C167" s="26"/>
      <x:c r="D167" s="26"/>
      <x:c r="E167" s="26"/>
      <x:c r="F167" s="26"/>
      <x:c r="G167" s="26"/>
      <x:c r="H167" s="26"/>
      <x:c r="I167" s="26"/>
      <x:c r="J167" s="26"/>
      <x:c r="K167" s="26"/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</x:row>
    <x:row r="168">
      <x:c r="A168" s="26"/>
      <x:c r="B168" s="26"/>
      <x:c r="C168" s="26"/>
      <x:c r="D168" s="26"/>
      <x:c r="E168" s="26"/>
      <x:c r="F168" s="26"/>
      <x:c r="G168" s="26"/>
      <x:c r="H168" s="26"/>
      <x:c r="I168" s="26"/>
      <x:c r="J168" s="26"/>
      <x:c r="K168" s="26"/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</x:row>
    <x:row r="169">
      <x:c r="A169" s="26"/>
      <x:c r="B169" s="26"/>
      <x:c r="C169" s="26"/>
      <x:c r="D169" s="26"/>
      <x:c r="E169" s="26"/>
      <x:c r="F169" s="26"/>
      <x:c r="G169" s="26"/>
      <x:c r="H169" s="26"/>
      <x:c r="I169" s="26"/>
      <x:c r="J169" s="26"/>
      <x:c r="K169" s="26"/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</x:row>
    <x:row r="170">
      <x:c r="A170" s="26"/>
      <x:c r="B170" s="26"/>
      <x:c r="C170" s="26"/>
      <x:c r="D170" s="26"/>
      <x:c r="E170" s="26"/>
      <x:c r="F170" s="26"/>
      <x:c r="G170" s="26"/>
      <x:c r="H170" s="26"/>
      <x:c r="I170" s="26"/>
      <x:c r="J170" s="26"/>
      <x:c r="K170" s="26"/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</x:row>
    <x:row r="171">
      <x:c r="A171" s="26"/>
      <x:c r="B171" s="26"/>
      <x:c r="C171" s="26"/>
      <x:c r="D171" s="26"/>
      <x:c r="E171" s="26"/>
      <x:c r="F171" s="26"/>
      <x:c r="G171" s="26"/>
      <x:c r="H171" s="26"/>
      <x:c r="I171" s="26"/>
      <x:c r="J171" s="26"/>
      <x:c r="K171" s="26"/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</x:row>
    <x:row r="172">
      <x:c r="A172" s="26"/>
      <x:c r="B172" s="26"/>
      <x:c r="C172" s="26"/>
      <x:c r="D172" s="26"/>
      <x:c r="E172" s="26"/>
      <x:c r="F172" s="26"/>
      <x:c r="G172" s="26"/>
      <x:c r="H172" s="26"/>
      <x:c r="I172" s="26"/>
      <x:c r="J172" s="26"/>
      <x:c r="K172" s="26"/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</x:row>
    <x:row r="173">
      <x:c r="A173" s="26"/>
      <x:c r="B173" s="26"/>
      <x:c r="C173" s="26"/>
      <x:c r="D173" s="26"/>
      <x:c r="E173" s="26"/>
      <x:c r="F173" s="26"/>
      <x:c r="G173" s="26"/>
      <x:c r="H173" s="26"/>
      <x:c r="I173" s="26"/>
      <x:c r="J173" s="26"/>
      <x:c r="K173" s="26"/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</x:row>
    <x:row r="174">
      <x:c r="A174" s="26"/>
      <x:c r="B174" s="26"/>
      <x:c r="C174" s="26"/>
      <x:c r="D174" s="26"/>
      <x:c r="E174" s="26"/>
      <x:c r="F174" s="26"/>
      <x:c r="G174" s="26"/>
      <x:c r="H174" s="26"/>
      <x:c r="I174" s="26"/>
      <x:c r="J174" s="26"/>
      <x:c r="K174" s="26"/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</x:row>
    <x:row r="175">
      <x:c r="A175" s="26"/>
      <x:c r="B175" s="26"/>
      <x:c r="C175" s="26"/>
      <x:c r="D175" s="26"/>
      <x:c r="E175" s="26"/>
      <x:c r="F175" s="26"/>
      <x:c r="G175" s="26"/>
      <x:c r="H175" s="26"/>
      <x:c r="I175" s="26"/>
      <x:c r="J175" s="26"/>
      <x:c r="K175" s="26"/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</x:row>
    <x:row r="176">
      <x:c r="A176" s="26"/>
      <x:c r="B176" s="26"/>
      <x:c r="C176" s="26"/>
      <x:c r="D176" s="26"/>
      <x:c r="E176" s="26"/>
      <x:c r="F176" s="26"/>
      <x:c r="G176" s="26"/>
      <x:c r="H176" s="26"/>
      <x:c r="I176" s="26"/>
      <x:c r="J176" s="26"/>
      <x:c r="K176" s="26"/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</x:row>
    <x:row r="177">
      <x:c r="A177" s="26"/>
      <x:c r="B177" s="26"/>
      <x:c r="C177" s="26"/>
      <x:c r="D177" s="26"/>
      <x:c r="E177" s="26"/>
      <x:c r="F177" s="26"/>
      <x:c r="G177" s="26"/>
      <x:c r="H177" s="26"/>
      <x:c r="I177" s="26"/>
      <x:c r="J177" s="26"/>
      <x:c r="K177" s="26"/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</x:row>
    <x:row r="178">
      <x:c r="A178" s="26"/>
      <x:c r="B178" s="26"/>
      <x:c r="C178" s="26"/>
      <x:c r="D178" s="26"/>
      <x:c r="E178" s="26"/>
      <x:c r="F178" s="26"/>
      <x:c r="G178" s="26"/>
      <x:c r="H178" s="26"/>
      <x:c r="I178" s="26"/>
      <x:c r="J178" s="26"/>
      <x:c r="K178" s="26"/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</x:row>
    <x:row r="179">
      <x:c r="A179" s="26"/>
      <x:c r="B179" s="26"/>
      <x:c r="C179" s="26"/>
      <x:c r="D179" s="26"/>
      <x:c r="E179" s="26"/>
      <x:c r="F179" s="26"/>
      <x:c r="G179" s="26"/>
      <x:c r="H179" s="26"/>
      <x:c r="I179" s="26"/>
      <x:c r="J179" s="26"/>
      <x:c r="K179" s="26"/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</x:row>
    <x:row r="180">
      <x:c r="A180" s="26"/>
      <x:c r="B180" s="26"/>
      <x:c r="C180" s="26"/>
      <x:c r="D180" s="26"/>
      <x:c r="E180" s="26"/>
      <x:c r="F180" s="26"/>
      <x:c r="G180" s="26"/>
      <x:c r="H180" s="26"/>
      <x:c r="I180" s="26"/>
      <x:c r="J180" s="26"/>
      <x:c r="K180" s="26"/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</x:row>
    <x:row r="181">
      <x:c r="A181" s="26"/>
      <x:c r="B181" s="26"/>
      <x:c r="C181" s="26"/>
      <x:c r="D181" s="26"/>
      <x:c r="E181" s="26"/>
      <x:c r="F181" s="26"/>
      <x:c r="G181" s="26"/>
      <x:c r="H181" s="26"/>
      <x:c r="I181" s="26"/>
      <x:c r="J181" s="26"/>
      <x:c r="K181" s="26"/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</x:row>
    <x:row r="182">
      <x:c r="A182" s="26"/>
      <x:c r="B182" s="26"/>
      <x:c r="C182" s="26"/>
      <x:c r="D182" s="26"/>
      <x:c r="E182" s="26"/>
      <x:c r="F182" s="26"/>
      <x:c r="G182" s="26"/>
      <x:c r="H182" s="26"/>
      <x:c r="I182" s="26"/>
      <x:c r="J182" s="26"/>
      <x:c r="K182" s="26"/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</x:row>
    <x:row r="183">
      <x:c r="A183" s="26"/>
      <x:c r="B183" s="26"/>
      <x:c r="C183" s="26"/>
      <x:c r="D183" s="26"/>
      <x:c r="E183" s="26"/>
      <x:c r="F183" s="26"/>
      <x:c r="G183" s="26"/>
      <x:c r="H183" s="26"/>
      <x:c r="I183" s="26"/>
      <x:c r="J183" s="26"/>
      <x:c r="K183" s="26"/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</x:row>
    <x:row r="184">
      <x:c r="A184" s="26"/>
      <x:c r="B184" s="26"/>
      <x:c r="C184" s="26"/>
      <x:c r="D184" s="26"/>
      <x:c r="E184" s="26"/>
      <x:c r="F184" s="26"/>
      <x:c r="G184" s="26"/>
      <x:c r="H184" s="26"/>
      <x:c r="I184" s="26"/>
      <x:c r="J184" s="26"/>
      <x:c r="K184" s="26"/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</x:row>
    <x:row r="185">
      <x:c r="A185" s="26"/>
      <x:c r="B185" s="26"/>
      <x:c r="C185" s="26"/>
      <x:c r="D185" s="26"/>
      <x:c r="E185" s="26"/>
      <x:c r="F185" s="26"/>
      <x:c r="G185" s="26"/>
      <x:c r="H185" s="26"/>
      <x:c r="I185" s="26"/>
      <x:c r="J185" s="26"/>
      <x:c r="K185" s="26"/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</x:row>
    <x:row r="186">
      <x:c r="A186" s="26"/>
      <x:c r="B186" s="26"/>
      <x:c r="C186" s="26"/>
      <x:c r="D186" s="26"/>
      <x:c r="E186" s="26"/>
      <x:c r="F186" s="26"/>
      <x:c r="G186" s="26"/>
      <x:c r="H186" s="26"/>
      <x:c r="I186" s="26"/>
      <x:c r="J186" s="26"/>
      <x:c r="K186" s="26"/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</x:row>
    <x:row r="187">
      <x:c r="A187" s="26"/>
      <x:c r="B187" s="26"/>
      <x:c r="C187" s="26"/>
      <x:c r="D187" s="26"/>
      <x:c r="E187" s="26"/>
      <x:c r="F187" s="26"/>
      <x:c r="G187" s="26"/>
      <x:c r="H187" s="26"/>
      <x:c r="I187" s="26"/>
      <x:c r="J187" s="26"/>
      <x:c r="K187" s="26"/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</x:row>
    <x:row r="188">
      <x:c r="A188" s="26"/>
      <x:c r="B188" s="26"/>
      <x:c r="C188" s="26"/>
      <x:c r="D188" s="26"/>
      <x:c r="E188" s="26"/>
      <x:c r="F188" s="26"/>
      <x:c r="G188" s="26"/>
      <x:c r="H188" s="26"/>
      <x:c r="I188" s="26"/>
      <x:c r="J188" s="26"/>
      <x:c r="K188" s="26"/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</x:row>
    <x:row r="189">
      <x:c r="A189" s="26"/>
      <x:c r="B189" s="26"/>
      <x:c r="C189" s="26"/>
      <x:c r="D189" s="26"/>
      <x:c r="E189" s="26"/>
      <x:c r="F189" s="26"/>
      <x:c r="G189" s="26"/>
      <x:c r="H189" s="26"/>
      <x:c r="I189" s="26"/>
      <x:c r="J189" s="26"/>
      <x:c r="K189" s="26"/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</x:row>
    <x:row r="190">
      <x:c r="A190" s="26"/>
      <x:c r="B190" s="26"/>
      <x:c r="C190" s="26"/>
      <x:c r="D190" s="26"/>
      <x:c r="E190" s="26"/>
      <x:c r="F190" s="26"/>
      <x:c r="G190" s="26"/>
      <x:c r="H190" s="26"/>
      <x:c r="I190" s="26"/>
      <x:c r="J190" s="26"/>
      <x:c r="K190" s="26"/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</x:row>
    <x:row r="191">
      <x:c r="A191" s="26"/>
      <x:c r="B191" s="26"/>
      <x:c r="C191" s="26"/>
      <x:c r="D191" s="26"/>
      <x:c r="E191" s="26"/>
      <x:c r="F191" s="26"/>
      <x:c r="G191" s="26"/>
      <x:c r="H191" s="26"/>
      <x:c r="I191" s="26"/>
      <x:c r="J191" s="26"/>
      <x:c r="K191" s="26"/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</x:row>
    <x:row r="192">
      <x:c r="A192" s="26"/>
      <x:c r="B192" s="26"/>
      <x:c r="C192" s="26"/>
      <x:c r="D192" s="26"/>
      <x:c r="E192" s="26"/>
      <x:c r="F192" s="26"/>
      <x:c r="G192" s="26"/>
      <x:c r="H192" s="26"/>
      <x:c r="I192" s="26"/>
      <x:c r="J192" s="26"/>
      <x:c r="K192" s="26"/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</x:row>
    <x:row r="193">
      <x:c r="A193" s="26"/>
      <x:c r="B193" s="26"/>
      <x:c r="C193" s="26"/>
      <x:c r="D193" s="26"/>
      <x:c r="E193" s="26"/>
      <x:c r="F193" s="26"/>
      <x:c r="G193" s="26"/>
      <x:c r="H193" s="26"/>
      <x:c r="I193" s="26"/>
      <x:c r="J193" s="26"/>
      <x:c r="K193" s="26"/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</x:row>
    <x:row r="194">
      <x:c r="A194" s="26"/>
      <x:c r="B194" s="26"/>
      <x:c r="C194" s="26"/>
      <x:c r="D194" s="26"/>
      <x:c r="E194" s="26"/>
      <x:c r="F194" s="26"/>
      <x:c r="G194" s="26"/>
      <x:c r="H194" s="26"/>
      <x:c r="I194" s="26"/>
      <x:c r="J194" s="26"/>
      <x:c r="K194" s="26"/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</x:row>
    <x:row r="195">
      <x:c r="A195" s="26"/>
      <x:c r="B195" s="26"/>
      <x:c r="C195" s="26"/>
      <x:c r="D195" s="26"/>
      <x:c r="E195" s="26"/>
      <x:c r="F195" s="26"/>
      <x:c r="G195" s="26"/>
      <x:c r="H195" s="26"/>
      <x:c r="I195" s="26"/>
      <x:c r="J195" s="26"/>
      <x:c r="K195" s="26"/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</x:row>
    <x:row r="196">
      <x:c r="A196" s="26"/>
      <x:c r="B196" s="26"/>
      <x:c r="C196" s="26"/>
      <x:c r="D196" s="26"/>
      <x:c r="E196" s="26"/>
      <x:c r="F196" s="26"/>
      <x:c r="G196" s="26"/>
      <x:c r="H196" s="26"/>
      <x:c r="I196" s="26"/>
      <x:c r="J196" s="26"/>
      <x:c r="K196" s="26"/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</x:row>
    <x:row r="197">
      <x:c r="A197" s="26"/>
      <x:c r="B197" s="26"/>
      <x:c r="C197" s="26"/>
      <x:c r="D197" s="26"/>
      <x:c r="E197" s="26"/>
      <x:c r="F197" s="26"/>
      <x:c r="G197" s="26"/>
      <x:c r="H197" s="26"/>
      <x:c r="I197" s="26"/>
      <x:c r="J197" s="26"/>
      <x:c r="K197" s="26"/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</x:row>
    <x:row r="198">
      <x:c r="A198" s="26"/>
      <x:c r="B198" s="26"/>
      <x:c r="C198" s="26"/>
      <x:c r="D198" s="26"/>
      <x:c r="E198" s="26"/>
      <x:c r="F198" s="26"/>
      <x:c r="G198" s="26"/>
      <x:c r="H198" s="26"/>
      <x:c r="I198" s="26"/>
      <x:c r="J198" s="26"/>
      <x:c r="K198" s="26"/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</x:row>
    <x:row r="199">
      <x:c r="A199" s="26"/>
      <x:c r="B199" s="26"/>
      <x:c r="C199" s="26"/>
      <x:c r="D199" s="26"/>
      <x:c r="E199" s="26"/>
      <x:c r="F199" s="26"/>
      <x:c r="G199" s="26"/>
      <x:c r="H199" s="26"/>
      <x:c r="I199" s="26"/>
      <x:c r="J199" s="26"/>
      <x:c r="K199" s="26"/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</x:row>
    <x:row r="200">
      <x:c r="A200" s="26"/>
      <x:c r="B200" s="26"/>
      <x:c r="C200" s="26"/>
      <x:c r="D200" s="26"/>
      <x:c r="E200" s="26"/>
      <x:c r="F200" s="26"/>
      <x:c r="G200" s="26"/>
      <x:c r="H200" s="26"/>
      <x:c r="I200" s="26"/>
      <x:c r="J200" s="26"/>
      <x:c r="K200" s="26"/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f9e2c3518dd2476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40" hidden="0" customWidth="1"/>
  </x:cols>
  <x:sheetData>
    <x:row r="1" ht="28" customHeight="1">
      <x:c r="A1" s="50" t="str">
        <x:v>Scenario Assumptions — Conservative / Base / Aggressive</x:v>
      </x:c>
      <x:c r="B1" s="50"/>
      <x:c r="C1" s="50"/>
      <x:c r="D1" s="50"/>
      <x:c r="E1" s="50"/>
      <x:c r="F1" s="26"/>
      <x:c r="G1" s="26"/>
      <x:c r="H1" s="26"/>
      <x:c r="I1" s="26"/>
      <x:c r="J1" s="26"/>
      <x:c r="K1" s="26"/>
      <x:c r="L1" s="26"/>
      <x:c r="M1" s="26"/>
      <x:c r="N1" s="26"/>
      <x:c r="O1" s="26"/>
      <x:c r="P1" s="26"/>
      <x:c r="Q1" s="26"/>
      <x:c r="R1" s="26"/>
      <x:c r="S1" s="26"/>
      <x:c r="T1" s="26"/>
      <x:c r="U1" s="26"/>
      <x:c r="V1" s="26"/>
      <x:c r="W1" s="26"/>
      <x:c r="X1" s="26"/>
      <x:c r="Y1" s="26"/>
      <x:c r="Z1" s="26"/>
    </x:row>
    <x:row r="2">
      <x:c r="A2" s="26"/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</x:row>
    <x:row r="3">
      <x:c r="A3" s="14" t="str">
        <x:v>metric</x:v>
      </x:c>
      <x:c r="B3" s="14" t="str">
        <x:v>Conservative</x:v>
      </x:c>
      <x:c r="C3" s="14" t="str">
        <x:v>Base</x:v>
      </x:c>
      <x:c r="D3" s="14" t="str">
        <x:v>Aggressive</x:v>
      </x:c>
      <x:c r="E3" s="14" t="str">
        <x:v>comment</x:v>
      </x:c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</x:row>
    <x:row r="4">
      <x:c r="A4" s="26" t="str">
        <x:v>traffic_monthly</x:v>
      </x:c>
      <x:c r="B4" s="27" t="n">
        <x:v>1500</x:v>
      </x:c>
      <x:c r="C4" s="27" t="n">
        <x:v>3000</x:v>
      </x:c>
      <x:c r="D4" s="27" t="n">
        <x:v>6000</x:v>
      </x:c>
      <x:c r="E4" s="26" t="str">
        <x:v>Reach via Telegram/VK/Yandex</x:v>
      </x:c>
      <x:c r="F4" s="26"/>
      <x:c r="G4" s="26"/>
      <x:c r="H4" s="26"/>
      <x:c r="I4" s="26"/>
      <x:c r="J4" s="26"/>
      <x:c r="K4" s="26"/>
      <x:c r="L4" s="26"/>
      <x:c r="M4" s="26"/>
      <x:c r="N4" s="26"/>
      <x:c r="O4" s="26"/>
      <x:c r="P4" s="26"/>
      <x:c r="Q4" s="26"/>
      <x:c r="R4" s="26"/>
      <x:c r="S4" s="26"/>
      <x:c r="T4" s="26"/>
      <x:c r="U4" s="26"/>
      <x:c r="V4" s="26"/>
      <x:c r="W4" s="26"/>
      <x:c r="X4" s="26"/>
      <x:c r="Y4" s="26"/>
      <x:c r="Z4" s="26"/>
    </x:row>
    <x:row r="5">
      <x:c r="A5" s="26" t="str">
        <x:v>visitor_to_lead</x:v>
      </x:c>
      <x:c r="B5" s="27" t="n">
        <x:v>0.025</x:v>
      </x:c>
      <x:c r="C5" s="27" t="n">
        <x:v>0.04</x:v>
      </x:c>
      <x:c r="D5" s="27" t="n">
        <x:v>0.065</x:v>
      </x:c>
      <x:c r="E5" s="26" t="str">
        <x:v>Landing + offer strength</x:v>
      </x:c>
      <x:c r="F5" s="26"/>
      <x:c r="G5" s="26"/>
      <x:c r="H5" s="26"/>
      <x:c r="I5" s="26"/>
      <x:c r="J5" s="26"/>
      <x:c r="K5" s="26"/>
      <x:c r="L5" s="26"/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>
      <x:c r="A6" s="26" t="str">
        <x:v>lead_to_registration</x:v>
      </x:c>
      <x:c r="B6" s="27" t="n">
        <x:v>0.3</x:v>
      </x:c>
      <x:c r="C6" s="27" t="n">
        <x:v>0.45</x:v>
      </x:c>
      <x:c r="D6" s="27" t="n">
        <x:v>0.6</x:v>
      </x:c>
      <x:c r="E6" s="26" t="str">
        <x:v>Demo / signup intent</x:v>
      </x:c>
      <x:c r="F6" s="26"/>
      <x:c r="G6" s="26"/>
      <x:c r="H6" s="26"/>
      <x:c r="I6" s="26"/>
      <x:c r="J6" s="26"/>
      <x:c r="K6" s="26"/>
      <x:c r="L6" s="26"/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/>
      <x:c r="X6" s="26"/>
      <x:c r="Y6" s="26"/>
      <x:c r="Z6" s="26"/>
    </x:row>
    <x:row r="7">
      <x:c r="A7" s="26" t="str">
        <x:v>registration_to_activation</x:v>
      </x:c>
      <x:c r="B7" s="27" t="n">
        <x:v>0.35</x:v>
      </x:c>
      <x:c r="C7" s="27" t="n">
        <x:v>0.55</x:v>
      </x:c>
      <x:c r="D7" s="27" t="n">
        <x:v>0.7</x:v>
      </x:c>
      <x:c r="E7" s="26" t="str">
        <x:v>Onboarding effectiveness</x:v>
      </x:c>
      <x:c r="F7" s="26"/>
      <x:c r="G7" s="26"/>
      <x:c r="H7" s="26"/>
      <x:c r="I7" s="26"/>
      <x:c r="J7" s="26"/>
      <x:c r="K7" s="26"/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26"/>
      <x:c r="Z7" s="26"/>
    </x:row>
    <x:row r="8">
      <x:c r="A8" s="26" t="str">
        <x:v>activation_to_paid</x:v>
      </x:c>
      <x:c r="B8" s="27" t="n">
        <x:v>0.1</x:v>
      </x:c>
      <x:c r="C8" s="27" t="n">
        <x:v>0.2</x:v>
      </x:c>
      <x:c r="D8" s="27" t="n">
        <x:v>0.3</x:v>
      </x:c>
      <x:c r="E8" s="26" t="str">
        <x:v>Trial/demo → paid</x:v>
      </x:c>
      <x:c r="F8" s="26"/>
      <x:c r="G8" s="26"/>
      <x:c r="H8" s="26"/>
      <x:c r="I8" s="26"/>
      <x:c r="J8" s="26"/>
      <x:c r="K8" s="26"/>
      <x:c r="L8" s="26"/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/>
      <x:c r="X8" s="26"/>
      <x:c r="Y8" s="26"/>
      <x:c r="Z8" s="26"/>
    </x:row>
    <x:row r="9">
      <x:c r="A9" s="26" t="str">
        <x:v>monthly_churn</x:v>
      </x:c>
      <x:c r="B9" s="27" t="n">
        <x:v>0.08</x:v>
      </x:c>
      <x:c r="C9" s="27" t="n">
        <x:v>0.05</x:v>
      </x:c>
      <x:c r="D9" s="27" t="n">
        <x:v>0.03</x:v>
      </x:c>
      <x:c r="E9" s="26" t="str">
        <x:v>Logo churn</x:v>
      </x:c>
      <x:c r="F9" s="26"/>
      <x:c r="G9" s="26"/>
      <x:c r="H9" s="26"/>
      <x:c r="I9" s="26"/>
      <x:c r="J9" s="26"/>
      <x:c r="K9" s="26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26"/>
      <x:c r="Z9" s="26"/>
    </x:row>
    <x:row r="10">
      <x:c r="A10" s="26" t="str">
        <x:v>marketing_spend_monthly</x:v>
      </x:c>
      <x:c r="B10" s="27" t="n">
        <x:v>50000</x:v>
      </x:c>
      <x:c r="C10" s="27" t="n">
        <x:v>80000</x:v>
      </x:c>
      <x:c r="D10" s="27" t="n">
        <x:v>140000</x:v>
      </x:c>
      <x:c r="E10" s="26" t="str">
        <x:v>Paid acquisition</x:v>
      </x:c>
      <x:c r="F10" s="26"/>
      <x:c r="G10" s="26"/>
      <x:c r="H10" s="26"/>
      <x:c r="I10" s="26"/>
      <x:c r="J10" s="26"/>
      <x:c r="K10" s="26"/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</x:row>
    <x:row r="11">
      <x:c r="A11" s="26" t="str">
        <x:v>fixed_dev_cost</x:v>
      </x:c>
      <x:c r="B11" s="27" t="n">
        <x:v>180000</x:v>
      </x:c>
      <x:c r="C11" s="27" t="n">
        <x:v>250000</x:v>
      </x:c>
      <x:c r="D11" s="27" t="n">
        <x:v>350000</x:v>
      </x:c>
      <x:c r="E11" s="26" t="str">
        <x:v>Team size</x:v>
      </x:c>
      <x:c r="F11" s="26"/>
      <x:c r="G11" s="26"/>
      <x:c r="H11" s="26"/>
      <x:c r="I11" s="26"/>
      <x:c r="J11" s="26"/>
      <x:c r="K11" s="26"/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</x:row>
    <x:row r="12">
      <x:c r="A12" s="26" t="str">
        <x:v>support_hours_per_paid_user</x:v>
      </x:c>
      <x:c r="B12" s="27" t="n">
        <x:v>0.9</x:v>
      </x:c>
      <x:c r="C12" s="27" t="n">
        <x:v>0.6</x:v>
      </x:c>
      <x:c r="D12" s="27" t="n">
        <x:v>0.4</x:v>
      </x:c>
      <x:c r="E12" s="26" t="str">
        <x:v>Product self-service level</x:v>
      </x:c>
      <x:c r="F12" s="26"/>
      <x:c r="G12" s="26"/>
      <x:c r="H12" s="26"/>
      <x:c r="I12" s="26"/>
      <x:c r="J12" s="26"/>
      <x:c r="K12" s="26"/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/>
      <x:c r="X12" s="26"/>
      <x:c r="Y12" s="26"/>
      <x:c r="Z12" s="26"/>
    </x:row>
    <x:row r="13">
      <x:c r="A13" s="26" t="str">
        <x:v>monthly_price_avg</x:v>
      </x:c>
      <x:c r="B13" s="27" t="n">
        <x:v>5900</x:v>
      </x:c>
      <x:c r="C13" s="27" t="n">
        <x:v>6900</x:v>
      </x:c>
      <x:c r="D13" s="27" t="n">
        <x:v>7900</x:v>
      </x:c>
      <x:c r="E13" s="26" t="str">
        <x:v>Average monthly tariff</x:v>
      </x:c>
      <x:c r="F13" s="26"/>
      <x:c r="G13" s="26"/>
      <x:c r="H13" s="26"/>
      <x:c r="I13" s="26"/>
      <x:c r="J13" s="26"/>
      <x:c r="K13" s="26"/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</x:row>
    <x:row r="14">
      <x:c r="A14" s="26" t="str">
        <x:v>season_plan_mix</x:v>
      </x:c>
      <x:c r="B14" s="27" t="n">
        <x:v>0.35</x:v>
      </x:c>
      <x:c r="C14" s="27" t="n">
        <x:v>0.45</x:v>
      </x:c>
      <x:c r="D14" s="27" t="n">
        <x:v>0.55</x:v>
      </x:c>
      <x:c r="E14" s="26" t="str">
        <x:v>Seasonal upfront offer adoption</x:v>
      </x:c>
      <x:c r="F14" s="26"/>
      <x:c r="G14" s="26"/>
      <x:c r="H14" s="26"/>
      <x:c r="I14" s="26"/>
      <x:c r="J14" s="26"/>
      <x:c r="K14" s="26"/>
      <x:c r="L14" s="26"/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/>
      <x:c r="X14" s="26"/>
      <x:c r="Y14" s="26"/>
      <x:c r="Z14" s="26"/>
    </x:row>
    <x:row r="15">
      <x:c r="A15" s="26" t="str">
        <x:v>annual_plan_mix</x:v>
      </x:c>
      <x:c r="B15" s="27" t="n">
        <x:v>0.05</x:v>
      </x:c>
      <x:c r="C15" s="27" t="n">
        <x:v>0.1</x:v>
      </x:c>
      <x:c r="D15" s="27" t="n">
        <x:v>0.15</x:v>
      </x:c>
      <x:c r="E15" s="26" t="str">
        <x:v>Annual contracts</x:v>
      </x:c>
      <x:c r="F15" s="26"/>
      <x:c r="G15" s="26"/>
      <x:c r="H15" s="26"/>
      <x:c r="I15" s="26"/>
      <x:c r="J15" s="26"/>
      <x:c r="K15" s="26"/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</x:row>
    <x:row r="16">
      <x:c r="A16" s="26"/>
      <x:c r="B16" s="26"/>
      <x:c r="C16" s="26"/>
      <x:c r="D16" s="26"/>
      <x:c r="E16" s="26"/>
      <x:c r="F16" s="26"/>
      <x:c r="G16" s="26"/>
      <x:c r="H16" s="26"/>
      <x:c r="I16" s="26"/>
      <x:c r="J16" s="26"/>
      <x:c r="K16" s="26"/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</x:row>
    <x:row r="17">
      <x:c r="A17" s="26"/>
      <x:c r="B17" s="26"/>
      <x:c r="C17" s="26"/>
      <x:c r="D17" s="26"/>
      <x:c r="E17" s="26"/>
      <x:c r="F17" s="26"/>
      <x:c r="G17" s="26"/>
      <x:c r="H17" s="26"/>
      <x:c r="I17" s="26"/>
      <x:c r="J17" s="26"/>
      <x:c r="K17" s="26"/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</x:row>
    <x:row r="18">
      <x:c r="A18" s="26"/>
      <x:c r="B18" s="26"/>
      <x:c r="C18" s="26"/>
      <x:c r="D18" s="26"/>
      <x:c r="E18" s="26"/>
      <x:c r="F18" s="26"/>
      <x:c r="G18" s="26"/>
      <x:c r="H18" s="26"/>
      <x:c r="I18" s="26"/>
      <x:c r="J18" s="26"/>
      <x:c r="K18" s="26"/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</x:row>
    <x:row r="19">
      <x:c r="A19" s="26"/>
      <x:c r="B19" s="26"/>
      <x:c r="C19" s="26"/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>
      <x:c r="A20" s="26"/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>
      <x:c r="A21" s="26"/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>
      <x:c r="A22" s="26"/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>
      <x:c r="A23" s="26"/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>
      <x:c r="A24" s="26"/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>
      <x:c r="A25" s="26"/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>
      <x:c r="A26" s="26"/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>
      <x:c r="A27" s="26"/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>
      <x:c r="A28" s="26"/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>
      <x:c r="A29" s="26"/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>
      <x:c r="A30" s="26"/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>
      <x:c r="A31" s="26"/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>
      <x:c r="A32" s="26"/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>
      <x:c r="A33" s="26"/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</x:row>
    <x:row r="34">
      <x:c r="A34" s="26"/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</x:row>
    <x:row r="35">
      <x:c r="A35" s="26"/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</x:row>
    <x:row r="36">
      <x:c r="A36" s="26"/>
      <x:c r="B36" s="26"/>
      <x:c r="C36" s="26"/>
      <x:c r="D36" s="26"/>
      <x:c r="E36" s="26"/>
      <x:c r="F36" s="26"/>
      <x:c r="G36" s="26"/>
      <x:c r="H36" s="26"/>
      <x:c r="I36" s="26"/>
      <x:c r="J36" s="26"/>
      <x:c r="K36" s="26"/>
      <x:c r="L36" s="26"/>
      <x:c r="M36" s="26"/>
      <x:c r="N36" s="26"/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</x:row>
    <x:row r="37">
      <x:c r="A37" s="26"/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  <x:c r="L37" s="26"/>
      <x:c r="M37" s="26"/>
      <x:c r="N37" s="26"/>
      <x:c r="O37" s="26"/>
      <x:c r="P37" s="26"/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</x:row>
    <x:row r="38">
      <x:c r="A38" s="26"/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</x:row>
    <x:row r="39">
      <x:c r="A39" s="26"/>
      <x:c r="B39" s="26"/>
      <x:c r="C39" s="26"/>
      <x:c r="D39" s="26"/>
      <x:c r="E39" s="26"/>
      <x:c r="F39" s="26"/>
      <x:c r="G39" s="26"/>
      <x:c r="H39" s="26"/>
      <x:c r="I39" s="26"/>
      <x:c r="J39" s="26"/>
      <x:c r="K39" s="26"/>
      <x:c r="L39" s="26"/>
      <x:c r="M39" s="26"/>
      <x:c r="N39" s="26"/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</x:row>
    <x:row r="40">
      <x:c r="A40" s="26"/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  <x:c r="L40" s="26"/>
      <x:c r="M40" s="26"/>
      <x:c r="N40" s="26"/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</x:row>
    <x:row r="41">
      <x:c r="A41" s="26"/>
      <x:c r="B41" s="26"/>
      <x:c r="C41" s="26"/>
      <x:c r="D41" s="26"/>
      <x:c r="E41" s="26"/>
      <x:c r="F41" s="26"/>
      <x:c r="G41" s="26"/>
      <x:c r="H41" s="26"/>
      <x:c r="I41" s="26"/>
      <x:c r="J41" s="26"/>
      <x:c r="K41" s="26"/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</x:row>
    <x:row r="42">
      <x:c r="A42" s="26"/>
      <x:c r="B42" s="26"/>
      <x:c r="C42" s="26"/>
      <x:c r="D42" s="26"/>
      <x:c r="E42" s="26"/>
      <x:c r="F42" s="26"/>
      <x:c r="G42" s="26"/>
      <x:c r="H42" s="26"/>
      <x:c r="I42" s="26"/>
      <x:c r="J42" s="26"/>
      <x:c r="K42" s="26"/>
      <x:c r="L42" s="26"/>
      <x:c r="M42" s="26"/>
      <x:c r="N42" s="26"/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</x:row>
    <x:row r="43">
      <x:c r="A43" s="26"/>
      <x:c r="B43" s="26"/>
      <x:c r="C43" s="26"/>
      <x:c r="D43" s="26"/>
      <x:c r="E43" s="26"/>
      <x:c r="F43" s="26"/>
      <x:c r="G43" s="26"/>
      <x:c r="H43" s="26"/>
      <x:c r="I43" s="26"/>
      <x:c r="J43" s="26"/>
      <x:c r="K43" s="26"/>
      <x:c r="L43" s="26"/>
      <x:c r="M43" s="26"/>
      <x:c r="N43" s="26"/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</x:row>
    <x:row r="44">
      <x:c r="A44" s="26"/>
      <x:c r="B44" s="26"/>
      <x:c r="C44" s="26"/>
      <x:c r="D44" s="26"/>
      <x:c r="E44" s="26"/>
      <x:c r="F44" s="26"/>
      <x:c r="G44" s="26"/>
      <x:c r="H44" s="26"/>
      <x:c r="I44" s="26"/>
      <x:c r="J44" s="26"/>
      <x:c r="K44" s="26"/>
      <x:c r="L44" s="26"/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</x:row>
    <x:row r="45">
      <x:c r="A45" s="26"/>
      <x:c r="B45" s="26"/>
      <x:c r="C45" s="26"/>
      <x:c r="D45" s="26"/>
      <x:c r="E45" s="26"/>
      <x:c r="F45" s="26"/>
      <x:c r="G45" s="26"/>
      <x:c r="H45" s="26"/>
      <x:c r="I45" s="26"/>
      <x:c r="J45" s="26"/>
      <x:c r="K45" s="26"/>
      <x:c r="L45" s="26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</x:row>
    <x:row r="46">
      <x:c r="A46" s="26"/>
      <x:c r="B46" s="26"/>
      <x:c r="C46" s="26"/>
      <x:c r="D46" s="26"/>
      <x:c r="E46" s="26"/>
      <x:c r="F46" s="26"/>
      <x:c r="G46" s="26"/>
      <x:c r="H46" s="26"/>
      <x:c r="I46" s="26"/>
      <x:c r="J46" s="26"/>
      <x:c r="K46" s="26"/>
      <x:c r="L46" s="26"/>
      <x:c r="M46" s="26"/>
      <x:c r="N46" s="26"/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</x:row>
    <x:row r="47">
      <x:c r="A47" s="26"/>
      <x:c r="B47" s="26"/>
      <x:c r="C47" s="26"/>
      <x:c r="D47" s="26"/>
      <x:c r="E47" s="26"/>
      <x:c r="F47" s="26"/>
      <x:c r="G47" s="26"/>
      <x:c r="H47" s="26"/>
      <x:c r="I47" s="26"/>
      <x:c r="J47" s="26"/>
      <x:c r="K47" s="26"/>
      <x:c r="L47" s="26"/>
      <x:c r="M47" s="26"/>
      <x:c r="N47" s="26"/>
      <x:c r="O47" s="26"/>
      <x:c r="P47" s="26"/>
      <x:c r="Q47" s="26"/>
      <x:c r="R47" s="26"/>
      <x:c r="S47" s="26"/>
      <x:c r="T47" s="26"/>
      <x:c r="U47" s="26"/>
      <x:c r="V47" s="26"/>
      <x:c r="W47" s="26"/>
      <x:c r="X47" s="26"/>
      <x:c r="Y47" s="26"/>
      <x:c r="Z47" s="26"/>
    </x:row>
    <x:row r="48">
      <x:c r="A48" s="26"/>
      <x:c r="B48" s="26"/>
      <x:c r="C48" s="26"/>
      <x:c r="D48" s="26"/>
      <x:c r="E48" s="26"/>
      <x:c r="F48" s="26"/>
      <x:c r="G48" s="26"/>
      <x:c r="H48" s="26"/>
      <x:c r="I48" s="26"/>
      <x:c r="J48" s="26"/>
      <x:c r="K48" s="26"/>
      <x:c r="L48" s="26"/>
      <x:c r="M48" s="26"/>
      <x:c r="N48" s="26"/>
      <x:c r="O48" s="26"/>
      <x:c r="P48" s="26"/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</x:row>
    <x:row r="49">
      <x:c r="A49" s="26"/>
      <x:c r="B49" s="26"/>
      <x:c r="C49" s="26"/>
      <x:c r="D49" s="26"/>
      <x:c r="E49" s="26"/>
      <x:c r="F49" s="26"/>
      <x:c r="G49" s="26"/>
      <x:c r="H49" s="26"/>
      <x:c r="I49" s="26"/>
      <x:c r="J49" s="26"/>
      <x:c r="K49" s="26"/>
      <x:c r="L49" s="26"/>
      <x:c r="M49" s="26"/>
      <x:c r="N49" s="26"/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</x:row>
    <x:row r="50">
      <x:c r="A50" s="26"/>
      <x:c r="B50" s="26"/>
      <x:c r="C50" s="26"/>
      <x:c r="D50" s="26"/>
      <x:c r="E50" s="26"/>
      <x:c r="F50" s="26"/>
      <x:c r="G50" s="26"/>
      <x:c r="H50" s="26"/>
      <x:c r="I50" s="26"/>
      <x:c r="J50" s="26"/>
      <x:c r="K50" s="26"/>
      <x:c r="L50" s="26"/>
      <x:c r="M50" s="26"/>
      <x:c r="N50" s="26"/>
      <x:c r="O50" s="26"/>
      <x:c r="P50" s="26"/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</x:row>
    <x:row r="51">
      <x:c r="A51" s="26"/>
      <x:c r="B51" s="26"/>
      <x:c r="C51" s="26"/>
      <x:c r="D51" s="26"/>
      <x:c r="E51" s="26"/>
      <x:c r="F51" s="26"/>
      <x:c r="G51" s="26"/>
      <x:c r="H51" s="26"/>
      <x:c r="I51" s="26"/>
      <x:c r="J51" s="26"/>
      <x:c r="K51" s="26"/>
      <x:c r="L51" s="26"/>
      <x:c r="M51" s="26"/>
      <x:c r="N51" s="26"/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</x:row>
    <x:row r="52">
      <x:c r="A52" s="26"/>
      <x:c r="B52" s="26"/>
      <x:c r="C52" s="26"/>
      <x:c r="D52" s="26"/>
      <x:c r="E52" s="26"/>
      <x:c r="F52" s="26"/>
      <x:c r="G52" s="26"/>
      <x:c r="H52" s="26"/>
      <x:c r="I52" s="26"/>
      <x:c r="J52" s="26"/>
      <x:c r="K52" s="26"/>
      <x:c r="L52" s="26"/>
      <x:c r="M52" s="26"/>
      <x:c r="N52" s="26"/>
      <x:c r="O52" s="26"/>
      <x:c r="P52" s="26"/>
      <x:c r="Q52" s="26"/>
      <x:c r="R52" s="26"/>
      <x:c r="S52" s="26"/>
      <x:c r="T52" s="26"/>
      <x:c r="U52" s="26"/>
      <x:c r="V52" s="26"/>
      <x:c r="W52" s="26"/>
      <x:c r="X52" s="26"/>
      <x:c r="Y52" s="26"/>
      <x:c r="Z52" s="26"/>
    </x:row>
    <x:row r="53">
      <x:c r="A53" s="26"/>
      <x:c r="B53" s="26"/>
      <x:c r="C53" s="26"/>
      <x:c r="D53" s="26"/>
      <x:c r="E53" s="26"/>
      <x:c r="F53" s="26"/>
      <x:c r="G53" s="26"/>
      <x:c r="H53" s="26"/>
      <x:c r="I53" s="26"/>
      <x:c r="J53" s="26"/>
      <x:c r="K53" s="26"/>
      <x:c r="L53" s="26"/>
      <x:c r="M53" s="26"/>
      <x:c r="N53" s="26"/>
      <x:c r="O53" s="26"/>
      <x:c r="P53" s="26"/>
      <x:c r="Q53" s="26"/>
      <x:c r="R53" s="26"/>
      <x:c r="S53" s="26"/>
      <x:c r="T53" s="26"/>
      <x:c r="U53" s="26"/>
      <x:c r="V53" s="26"/>
      <x:c r="W53" s="26"/>
      <x:c r="X53" s="26"/>
      <x:c r="Y53" s="26"/>
      <x:c r="Z53" s="26"/>
    </x:row>
    <x:row r="54">
      <x:c r="A54" s="26"/>
      <x:c r="B54" s="26"/>
      <x:c r="C54" s="26"/>
      <x:c r="D54" s="26"/>
      <x:c r="E54" s="26"/>
      <x:c r="F54" s="26"/>
      <x:c r="G54" s="26"/>
      <x:c r="H54" s="26"/>
      <x:c r="I54" s="26"/>
      <x:c r="J54" s="26"/>
      <x:c r="K54" s="26"/>
      <x:c r="L54" s="26"/>
      <x:c r="M54" s="26"/>
      <x:c r="N54" s="26"/>
      <x:c r="O54" s="26"/>
      <x:c r="P54" s="26"/>
      <x:c r="Q54" s="26"/>
      <x:c r="R54" s="26"/>
      <x:c r="S54" s="26"/>
      <x:c r="T54" s="26"/>
      <x:c r="U54" s="26"/>
      <x:c r="V54" s="26"/>
      <x:c r="W54" s="26"/>
      <x:c r="X54" s="26"/>
      <x:c r="Y54" s="26"/>
      <x:c r="Z54" s="26"/>
    </x:row>
    <x:row r="55">
      <x:c r="A55" s="26"/>
      <x:c r="B55" s="26"/>
      <x:c r="C55" s="26"/>
      <x:c r="D55" s="26"/>
      <x:c r="E55" s="26"/>
      <x:c r="F55" s="26"/>
      <x:c r="G55" s="26"/>
      <x:c r="H55" s="26"/>
      <x:c r="I55" s="26"/>
      <x:c r="J55" s="26"/>
      <x:c r="K55" s="26"/>
      <x:c r="L55" s="26"/>
      <x:c r="M55" s="26"/>
      <x:c r="N55" s="26"/>
      <x:c r="O55" s="26"/>
      <x:c r="P55" s="26"/>
      <x:c r="Q55" s="26"/>
      <x:c r="R55" s="26"/>
      <x:c r="S55" s="26"/>
      <x:c r="T55" s="26"/>
      <x:c r="U55" s="26"/>
      <x:c r="V55" s="26"/>
      <x:c r="W55" s="26"/>
      <x:c r="X55" s="26"/>
      <x:c r="Y55" s="26"/>
      <x:c r="Z55" s="26"/>
    </x:row>
    <x:row r="56">
      <x:c r="A56" s="26"/>
      <x:c r="B56" s="26"/>
      <x:c r="C56" s="26"/>
      <x:c r="D56" s="26"/>
      <x:c r="E56" s="26"/>
      <x:c r="F56" s="26"/>
      <x:c r="G56" s="26"/>
      <x:c r="H56" s="26"/>
      <x:c r="I56" s="26"/>
      <x:c r="J56" s="26"/>
      <x:c r="K56" s="26"/>
      <x:c r="L56" s="26"/>
      <x:c r="M56" s="26"/>
      <x:c r="N56" s="26"/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</x:row>
    <x:row r="57">
      <x:c r="A57" s="26"/>
      <x:c r="B57" s="26"/>
      <x:c r="C57" s="26"/>
      <x:c r="D57" s="26"/>
      <x:c r="E57" s="26"/>
      <x:c r="F57" s="26"/>
      <x:c r="G57" s="26"/>
      <x:c r="H57" s="26"/>
      <x:c r="I57" s="26"/>
      <x:c r="J57" s="26"/>
      <x:c r="K57" s="26"/>
      <x:c r="L57" s="26"/>
      <x:c r="M57" s="26"/>
      <x:c r="N57" s="26"/>
      <x:c r="O57" s="26"/>
      <x:c r="P57" s="26"/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</x:row>
    <x:row r="58">
      <x:c r="A58" s="26"/>
      <x:c r="B58" s="26"/>
      <x:c r="C58" s="26"/>
      <x:c r="D58" s="26"/>
      <x:c r="E58" s="26"/>
      <x:c r="F58" s="26"/>
      <x:c r="G58" s="26"/>
      <x:c r="H58" s="26"/>
      <x:c r="I58" s="26"/>
      <x:c r="J58" s="26"/>
      <x:c r="K58" s="26"/>
      <x:c r="L58" s="26"/>
      <x:c r="M58" s="26"/>
      <x:c r="N58" s="26"/>
      <x:c r="O58" s="26"/>
      <x:c r="P58" s="26"/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</x:row>
    <x:row r="59">
      <x:c r="A59" s="26"/>
      <x:c r="B59" s="26"/>
      <x:c r="C59" s="26"/>
      <x:c r="D59" s="26"/>
      <x:c r="E59" s="26"/>
      <x:c r="F59" s="26"/>
      <x:c r="G59" s="26"/>
      <x:c r="H59" s="26"/>
      <x:c r="I59" s="26"/>
      <x:c r="J59" s="26"/>
      <x:c r="K59" s="26"/>
      <x:c r="L59" s="26"/>
      <x:c r="M59" s="26"/>
      <x:c r="N59" s="26"/>
      <x:c r="O59" s="26"/>
      <x:c r="P59" s="26"/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</x:row>
    <x:row r="60">
      <x:c r="A60" s="26"/>
      <x:c r="B60" s="26"/>
      <x:c r="C60" s="26"/>
      <x:c r="D60" s="26"/>
      <x:c r="E60" s="26"/>
      <x:c r="F60" s="26"/>
      <x:c r="G60" s="26"/>
      <x:c r="H60" s="26"/>
      <x:c r="I60" s="26"/>
      <x:c r="J60" s="26"/>
      <x:c r="K60" s="26"/>
      <x:c r="L60" s="26"/>
      <x:c r="M60" s="26"/>
      <x:c r="N60" s="26"/>
      <x:c r="O60" s="26"/>
      <x:c r="P60" s="26"/>
      <x:c r="Q60" s="26"/>
      <x:c r="R60" s="26"/>
      <x:c r="S60" s="26"/>
      <x:c r="T60" s="26"/>
      <x:c r="U60" s="26"/>
      <x:c r="V60" s="26"/>
      <x:c r="W60" s="26"/>
      <x:c r="X60" s="26"/>
      <x:c r="Y60" s="26"/>
      <x:c r="Z60" s="26"/>
    </x:row>
    <x:row r="61">
      <x:c r="A61" s="26"/>
      <x:c r="B61" s="26"/>
      <x:c r="C61" s="26"/>
      <x:c r="D61" s="26"/>
      <x:c r="E61" s="26"/>
      <x:c r="F61" s="26"/>
      <x:c r="G61" s="26"/>
      <x:c r="H61" s="26"/>
      <x:c r="I61" s="26"/>
      <x:c r="J61" s="26"/>
      <x:c r="K61" s="26"/>
      <x:c r="L61" s="26"/>
      <x:c r="M61" s="26"/>
      <x:c r="N61" s="26"/>
      <x:c r="O61" s="26"/>
      <x:c r="P61" s="26"/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</x:row>
    <x:row r="62">
      <x:c r="A62" s="26"/>
      <x:c r="B62" s="26"/>
      <x:c r="C62" s="26"/>
      <x:c r="D62" s="26"/>
      <x:c r="E62" s="26"/>
      <x:c r="F62" s="26"/>
      <x:c r="G62" s="26"/>
      <x:c r="H62" s="26"/>
      <x:c r="I62" s="26"/>
      <x:c r="J62" s="26"/>
      <x:c r="K62" s="26"/>
      <x:c r="L62" s="26"/>
      <x:c r="M62" s="26"/>
      <x:c r="N62" s="26"/>
      <x:c r="O62" s="26"/>
      <x:c r="P62" s="26"/>
      <x:c r="Q62" s="26"/>
      <x:c r="R62" s="26"/>
      <x:c r="S62" s="26"/>
      <x:c r="T62" s="26"/>
      <x:c r="U62" s="26"/>
      <x:c r="V62" s="26"/>
      <x:c r="W62" s="26"/>
      <x:c r="X62" s="26"/>
      <x:c r="Y62" s="26"/>
      <x:c r="Z62" s="26"/>
    </x:row>
    <x:row r="63">
      <x:c r="A63" s="26"/>
      <x:c r="B63" s="26"/>
      <x:c r="C63" s="26"/>
      <x:c r="D63" s="26"/>
      <x:c r="E63" s="26"/>
      <x:c r="F63" s="26"/>
      <x:c r="G63" s="26"/>
      <x:c r="H63" s="26"/>
      <x:c r="I63" s="26"/>
      <x:c r="J63" s="26"/>
      <x:c r="K63" s="26"/>
      <x:c r="L63" s="26"/>
      <x:c r="M63" s="26"/>
      <x:c r="N63" s="26"/>
      <x:c r="O63" s="26"/>
      <x:c r="P63" s="26"/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</x:row>
    <x:row r="64">
      <x:c r="A64" s="26"/>
      <x:c r="B64" s="26"/>
      <x:c r="C64" s="26"/>
      <x:c r="D64" s="26"/>
      <x:c r="E64" s="26"/>
      <x:c r="F64" s="26"/>
      <x:c r="G64" s="26"/>
      <x:c r="H64" s="26"/>
      <x:c r="I64" s="26"/>
      <x:c r="J64" s="26"/>
      <x:c r="K64" s="26"/>
      <x:c r="L64" s="26"/>
      <x:c r="M64" s="26"/>
      <x:c r="N64" s="26"/>
      <x:c r="O64" s="26"/>
      <x:c r="P64" s="26"/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</x:row>
    <x:row r="65">
      <x:c r="A65" s="26"/>
      <x:c r="B65" s="26"/>
      <x:c r="C65" s="26"/>
      <x:c r="D65" s="26"/>
      <x:c r="E65" s="26"/>
      <x:c r="F65" s="26"/>
      <x:c r="G65" s="26"/>
      <x:c r="H65" s="26"/>
      <x:c r="I65" s="26"/>
      <x:c r="J65" s="26"/>
      <x:c r="K65" s="26"/>
      <x:c r="L65" s="26"/>
      <x:c r="M65" s="26"/>
      <x:c r="N65" s="26"/>
      <x:c r="O65" s="26"/>
      <x:c r="P65" s="26"/>
      <x:c r="Q65" s="26"/>
      <x:c r="R65" s="26"/>
      <x:c r="S65" s="26"/>
      <x:c r="T65" s="26"/>
      <x:c r="U65" s="26"/>
      <x:c r="V65" s="26"/>
      <x:c r="W65" s="26"/>
      <x:c r="X65" s="26"/>
      <x:c r="Y65" s="26"/>
      <x:c r="Z65" s="26"/>
    </x:row>
    <x:row r="66">
      <x:c r="A66" s="26"/>
      <x:c r="B66" s="26"/>
      <x:c r="C66" s="26"/>
      <x:c r="D66" s="26"/>
      <x:c r="E66" s="26"/>
      <x:c r="F66" s="26"/>
      <x:c r="G66" s="26"/>
      <x:c r="H66" s="26"/>
      <x:c r="I66" s="26"/>
      <x:c r="J66" s="26"/>
      <x:c r="K66" s="26"/>
      <x:c r="L66" s="26"/>
      <x:c r="M66" s="26"/>
      <x:c r="N66" s="26"/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</x:row>
    <x:row r="67">
      <x:c r="A67" s="26"/>
      <x:c r="B67" s="26"/>
      <x:c r="C67" s="26"/>
      <x:c r="D67" s="26"/>
      <x:c r="E67" s="26"/>
      <x:c r="F67" s="26"/>
      <x:c r="G67" s="26"/>
      <x:c r="H67" s="26"/>
      <x:c r="I67" s="26"/>
      <x:c r="J67" s="26"/>
      <x:c r="K67" s="26"/>
      <x:c r="L67" s="26"/>
      <x:c r="M67" s="26"/>
      <x:c r="N67" s="26"/>
      <x:c r="O67" s="26"/>
      <x:c r="P67" s="26"/>
      <x:c r="Q67" s="26"/>
      <x:c r="R67" s="26"/>
      <x:c r="S67" s="26"/>
      <x:c r="T67" s="26"/>
      <x:c r="U67" s="26"/>
      <x:c r="V67" s="26"/>
      <x:c r="W67" s="26"/>
      <x:c r="X67" s="26"/>
      <x:c r="Y67" s="26"/>
      <x:c r="Z67" s="26"/>
    </x:row>
    <x:row r="68">
      <x:c r="A68" s="26"/>
      <x:c r="B68" s="26"/>
      <x:c r="C68" s="26"/>
      <x:c r="D68" s="26"/>
      <x:c r="E68" s="26"/>
      <x:c r="F68" s="26"/>
      <x:c r="G68" s="26"/>
      <x:c r="H68" s="26"/>
      <x:c r="I68" s="26"/>
      <x:c r="J68" s="26"/>
      <x:c r="K68" s="26"/>
      <x:c r="L68" s="26"/>
      <x:c r="M68" s="26"/>
      <x:c r="N68" s="26"/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6"/>
      <x:c r="Z68" s="26"/>
    </x:row>
    <x:row r="69">
      <x:c r="A69" s="26"/>
      <x:c r="B69" s="26"/>
      <x:c r="C69" s="26"/>
      <x:c r="D69" s="26"/>
      <x:c r="E69" s="26"/>
      <x:c r="F69" s="26"/>
      <x:c r="G69" s="26"/>
      <x:c r="H69" s="26"/>
      <x:c r="I69" s="26"/>
      <x:c r="J69" s="26"/>
      <x:c r="K69" s="26"/>
      <x:c r="L69" s="26"/>
      <x:c r="M69" s="26"/>
      <x:c r="N69" s="26"/>
      <x:c r="O69" s="26"/>
      <x:c r="P69" s="26"/>
      <x:c r="Q69" s="26"/>
      <x:c r="R69" s="26"/>
      <x:c r="S69" s="26"/>
      <x:c r="T69" s="26"/>
      <x:c r="U69" s="26"/>
      <x:c r="V69" s="26"/>
      <x:c r="W69" s="26"/>
      <x:c r="X69" s="26"/>
      <x:c r="Y69" s="26"/>
      <x:c r="Z69" s="26"/>
    </x:row>
    <x:row r="70">
      <x:c r="A70" s="26"/>
      <x:c r="B70" s="26"/>
      <x:c r="C70" s="26"/>
      <x:c r="D70" s="26"/>
      <x:c r="E70" s="26"/>
      <x:c r="F70" s="26"/>
      <x:c r="G70" s="26"/>
      <x:c r="H70" s="26"/>
      <x:c r="I70" s="26"/>
      <x:c r="J70" s="26"/>
      <x:c r="K70" s="26"/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</x:row>
    <x:row r="71">
      <x:c r="A71" s="26"/>
      <x:c r="B71" s="26"/>
      <x:c r="C71" s="26"/>
      <x:c r="D71" s="26"/>
      <x:c r="E71" s="26"/>
      <x:c r="F71" s="26"/>
      <x:c r="G71" s="26"/>
      <x:c r="H71" s="26"/>
      <x:c r="I71" s="26"/>
      <x:c r="J71" s="26"/>
      <x:c r="K71" s="26"/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6"/>
      <x:c r="Z71" s="26"/>
    </x:row>
    <x:row r="72">
      <x:c r="A72" s="26"/>
      <x:c r="B72" s="26"/>
      <x:c r="C72" s="26"/>
      <x:c r="D72" s="26"/>
      <x:c r="E72" s="26"/>
      <x:c r="F72" s="26"/>
      <x:c r="G72" s="26"/>
      <x:c r="H72" s="26"/>
      <x:c r="I72" s="26"/>
      <x:c r="J72" s="26"/>
      <x:c r="K72" s="26"/>
      <x:c r="L72" s="26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/>
      <x:c r="Y72" s="26"/>
      <x:c r="Z72" s="26"/>
    </x:row>
    <x:row r="73">
      <x:c r="A73" s="26"/>
      <x:c r="B73" s="26"/>
      <x:c r="C73" s="26"/>
      <x:c r="D73" s="26"/>
      <x:c r="E73" s="26"/>
      <x:c r="F73" s="26"/>
      <x:c r="G73" s="26"/>
      <x:c r="H73" s="26"/>
      <x:c r="I73" s="26"/>
      <x:c r="J73" s="26"/>
      <x:c r="K73" s="26"/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</x:row>
    <x:row r="74">
      <x:c r="A74" s="26"/>
      <x:c r="B74" s="26"/>
      <x:c r="C74" s="26"/>
      <x:c r="D74" s="26"/>
      <x:c r="E74" s="26"/>
      <x:c r="F74" s="26"/>
      <x:c r="G74" s="26"/>
      <x:c r="H74" s="26"/>
      <x:c r="I74" s="26"/>
      <x:c r="J74" s="26"/>
      <x:c r="K74" s="26"/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6"/>
      <x:c r="Z74" s="26"/>
    </x:row>
    <x:row r="75">
      <x:c r="A75" s="26"/>
      <x:c r="B75" s="26"/>
      <x:c r="C75" s="26"/>
      <x:c r="D75" s="26"/>
      <x:c r="E75" s="26"/>
      <x:c r="F75" s="26"/>
      <x:c r="G75" s="26"/>
      <x:c r="H75" s="26"/>
      <x:c r="I75" s="26"/>
      <x:c r="J75" s="26"/>
      <x:c r="K75" s="26"/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6"/>
      <x:c r="Z75" s="26"/>
    </x:row>
    <x:row r="76">
      <x:c r="A76" s="26"/>
      <x:c r="B76" s="26"/>
      <x:c r="C76" s="26"/>
      <x:c r="D76" s="26"/>
      <x:c r="E76" s="26"/>
      <x:c r="F76" s="26"/>
      <x:c r="G76" s="26"/>
      <x:c r="H76" s="26"/>
      <x:c r="I76" s="26"/>
      <x:c r="J76" s="26"/>
      <x:c r="K76" s="26"/>
      <x:c r="L76" s="26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6"/>
      <x:c r="Z76" s="26"/>
    </x:row>
    <x:row r="77">
      <x:c r="A77" s="26"/>
      <x:c r="B77" s="26"/>
      <x:c r="C77" s="26"/>
      <x:c r="D77" s="26"/>
      <x:c r="E77" s="26"/>
      <x:c r="F77" s="26"/>
      <x:c r="G77" s="26"/>
      <x:c r="H77" s="26"/>
      <x:c r="I77" s="26"/>
      <x:c r="J77" s="26"/>
      <x:c r="K77" s="26"/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</x:row>
    <x:row r="78">
      <x:c r="A78" s="26"/>
      <x:c r="B78" s="26"/>
      <x:c r="C78" s="26"/>
      <x:c r="D78" s="26"/>
      <x:c r="E78" s="26"/>
      <x:c r="F78" s="26"/>
      <x:c r="G78" s="26"/>
      <x:c r="H78" s="26"/>
      <x:c r="I78" s="26"/>
      <x:c r="J78" s="26"/>
      <x:c r="K78" s="26"/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6"/>
      <x:c r="Z78" s="26"/>
    </x:row>
    <x:row r="79">
      <x:c r="A79" s="26"/>
      <x:c r="B79" s="26"/>
      <x:c r="C79" s="26"/>
      <x:c r="D79" s="26"/>
      <x:c r="E79" s="26"/>
      <x:c r="F79" s="26"/>
      <x:c r="G79" s="26"/>
      <x:c r="H79" s="26"/>
      <x:c r="I79" s="26"/>
      <x:c r="J79" s="26"/>
      <x:c r="K79" s="26"/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/>
      <x:c r="Z79" s="26"/>
    </x:row>
    <x:row r="80">
      <x:c r="A80" s="26"/>
      <x:c r="B80" s="26"/>
      <x:c r="C80" s="26"/>
      <x:c r="D80" s="26"/>
      <x:c r="E80" s="26"/>
      <x:c r="F80" s="26"/>
      <x:c r="G80" s="26"/>
      <x:c r="H80" s="26"/>
      <x:c r="I80" s="26"/>
      <x:c r="J80" s="26"/>
      <x:c r="K80" s="26"/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</x:row>
    <x:row r="81">
      <x:c r="A81" s="26"/>
      <x:c r="B81" s="26"/>
      <x:c r="C81" s="26"/>
      <x:c r="D81" s="26"/>
      <x:c r="E81" s="26"/>
      <x:c r="F81" s="26"/>
      <x:c r="G81" s="26"/>
      <x:c r="H81" s="26"/>
      <x:c r="I81" s="26"/>
      <x:c r="J81" s="26"/>
      <x:c r="K81" s="26"/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  <x:c r="Z81" s="26"/>
    </x:row>
    <x:row r="82">
      <x:c r="A82" s="26"/>
      <x:c r="B82" s="26"/>
      <x:c r="C82" s="26"/>
      <x:c r="D82" s="26"/>
      <x:c r="E82" s="26"/>
      <x:c r="F82" s="26"/>
      <x:c r="G82" s="26"/>
      <x:c r="H82" s="26"/>
      <x:c r="I82" s="26"/>
      <x:c r="J82" s="26"/>
      <x:c r="K82" s="26"/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</x:row>
    <x:row r="83">
      <x:c r="A83" s="26"/>
      <x:c r="B83" s="26"/>
      <x:c r="C83" s="26"/>
      <x:c r="D83" s="26"/>
      <x:c r="E83" s="26"/>
      <x:c r="F83" s="26"/>
      <x:c r="G83" s="26"/>
      <x:c r="H83" s="26"/>
      <x:c r="I83" s="26"/>
      <x:c r="J83" s="26"/>
      <x:c r="K83" s="26"/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6"/>
    </x:row>
    <x:row r="84">
      <x:c r="A84" s="26"/>
      <x:c r="B84" s="26"/>
      <x:c r="C84" s="26"/>
      <x:c r="D84" s="26"/>
      <x:c r="E84" s="26"/>
      <x:c r="F84" s="26"/>
      <x:c r="G84" s="26"/>
      <x:c r="H84" s="26"/>
      <x:c r="I84" s="26"/>
      <x:c r="J84" s="26"/>
      <x:c r="K84" s="26"/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6"/>
    </x:row>
    <x:row r="85">
      <x:c r="A85" s="26"/>
      <x:c r="B85" s="26"/>
      <x:c r="C85" s="26"/>
      <x:c r="D85" s="26"/>
      <x:c r="E85" s="26"/>
      <x:c r="F85" s="26"/>
      <x:c r="G85" s="26"/>
      <x:c r="H85" s="26"/>
      <x:c r="I85" s="26"/>
      <x:c r="J85" s="26"/>
      <x:c r="K85" s="26"/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  <x:c r="Z85" s="26"/>
    </x:row>
    <x:row r="86">
      <x:c r="A86" s="26"/>
      <x:c r="B86" s="26"/>
      <x:c r="C86" s="26"/>
      <x:c r="D86" s="26"/>
      <x:c r="E86" s="26"/>
      <x:c r="F86" s="26"/>
      <x:c r="G86" s="26"/>
      <x:c r="H86" s="26"/>
      <x:c r="I86" s="26"/>
      <x:c r="J86" s="26"/>
      <x:c r="K86" s="26"/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6"/>
    </x:row>
    <x:row r="87">
      <x:c r="A87" s="26"/>
      <x:c r="B87" s="26"/>
      <x:c r="C87" s="26"/>
      <x:c r="D87" s="26"/>
      <x:c r="E87" s="26"/>
      <x:c r="F87" s="26"/>
      <x:c r="G87" s="26"/>
      <x:c r="H87" s="26"/>
      <x:c r="I87" s="26"/>
      <x:c r="J87" s="26"/>
      <x:c r="K87" s="26"/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6"/>
    </x:row>
    <x:row r="88">
      <x:c r="A88" s="26"/>
      <x:c r="B88" s="26"/>
      <x:c r="C88" s="26"/>
      <x:c r="D88" s="26"/>
      <x:c r="E88" s="26"/>
      <x:c r="F88" s="26"/>
      <x:c r="G88" s="26"/>
      <x:c r="H88" s="26"/>
      <x:c r="I88" s="26"/>
      <x:c r="J88" s="26"/>
      <x:c r="K88" s="26"/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6"/>
    </x:row>
    <x:row r="89">
      <x:c r="A89" s="26"/>
      <x:c r="B89" s="26"/>
      <x:c r="C89" s="26"/>
      <x:c r="D89" s="26"/>
      <x:c r="E89" s="26"/>
      <x:c r="F89" s="26"/>
      <x:c r="G89" s="26"/>
      <x:c r="H89" s="26"/>
      <x:c r="I89" s="26"/>
      <x:c r="J89" s="26"/>
      <x:c r="K89" s="26"/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6"/>
    </x:row>
    <x:row r="90">
      <x:c r="A90" s="26"/>
      <x:c r="B90" s="26"/>
      <x:c r="C90" s="26"/>
      <x:c r="D90" s="26"/>
      <x:c r="E90" s="26"/>
      <x:c r="F90" s="26"/>
      <x:c r="G90" s="26"/>
      <x:c r="H90" s="26"/>
      <x:c r="I90" s="26"/>
      <x:c r="J90" s="26"/>
      <x:c r="K90" s="26"/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6"/>
    </x:row>
    <x:row r="91">
      <x:c r="A91" s="26"/>
      <x:c r="B91" s="26"/>
      <x:c r="C91" s="26"/>
      <x:c r="D91" s="26"/>
      <x:c r="E91" s="26"/>
      <x:c r="F91" s="26"/>
      <x:c r="G91" s="26"/>
      <x:c r="H91" s="26"/>
      <x:c r="I91" s="26"/>
      <x:c r="J91" s="26"/>
      <x:c r="K91" s="26"/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6"/>
    </x:row>
    <x:row r="92">
      <x:c r="A92" s="26"/>
      <x:c r="B92" s="26"/>
      <x:c r="C92" s="26"/>
      <x:c r="D92" s="26"/>
      <x:c r="E92" s="26"/>
      <x:c r="F92" s="26"/>
      <x:c r="G92" s="26"/>
      <x:c r="H92" s="26"/>
      <x:c r="I92" s="26"/>
      <x:c r="J92" s="26"/>
      <x:c r="K92" s="26"/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6"/>
    </x:row>
    <x:row r="93">
      <x:c r="A93" s="26"/>
      <x:c r="B93" s="26"/>
      <x:c r="C93" s="26"/>
      <x:c r="D93" s="26"/>
      <x:c r="E93" s="26"/>
      <x:c r="F93" s="26"/>
      <x:c r="G93" s="26"/>
      <x:c r="H93" s="26"/>
      <x:c r="I93" s="26"/>
      <x:c r="J93" s="26"/>
      <x:c r="K93" s="26"/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6"/>
    </x:row>
    <x:row r="94">
      <x:c r="A94" s="26"/>
      <x:c r="B94" s="26"/>
      <x:c r="C94" s="26"/>
      <x:c r="D94" s="26"/>
      <x:c r="E94" s="26"/>
      <x:c r="F94" s="26"/>
      <x:c r="G94" s="26"/>
      <x:c r="H94" s="26"/>
      <x:c r="I94" s="26"/>
      <x:c r="J94" s="26"/>
      <x:c r="K94" s="26"/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6"/>
    </x:row>
    <x:row r="95">
      <x:c r="A95" s="26"/>
      <x:c r="B95" s="26"/>
      <x:c r="C95" s="26"/>
      <x:c r="D95" s="26"/>
      <x:c r="E95" s="26"/>
      <x:c r="F95" s="26"/>
      <x:c r="G95" s="26"/>
      <x:c r="H95" s="26"/>
      <x:c r="I95" s="26"/>
      <x:c r="J95" s="26"/>
      <x:c r="K95" s="26"/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</x:row>
    <x:row r="96">
      <x:c r="A96" s="26"/>
      <x:c r="B96" s="26"/>
      <x:c r="C96" s="26"/>
      <x:c r="D96" s="26"/>
      <x:c r="E96" s="26"/>
      <x:c r="F96" s="26"/>
      <x:c r="G96" s="26"/>
      <x:c r="H96" s="26"/>
      <x:c r="I96" s="26"/>
      <x:c r="J96" s="26"/>
      <x:c r="K96" s="26"/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</x:row>
    <x:row r="97">
      <x:c r="A97" s="26"/>
      <x:c r="B97" s="26"/>
      <x:c r="C97" s="26"/>
      <x:c r="D97" s="26"/>
      <x:c r="E97" s="26"/>
      <x:c r="F97" s="26"/>
      <x:c r="G97" s="26"/>
      <x:c r="H97" s="26"/>
      <x:c r="I97" s="26"/>
      <x:c r="J97" s="26"/>
      <x:c r="K97" s="26"/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</x:row>
    <x:row r="98">
      <x:c r="A98" s="26"/>
      <x:c r="B98" s="26"/>
      <x:c r="C98" s="26"/>
      <x:c r="D98" s="26"/>
      <x:c r="E98" s="26"/>
      <x:c r="F98" s="26"/>
      <x:c r="G98" s="26"/>
      <x:c r="H98" s="26"/>
      <x:c r="I98" s="26"/>
      <x:c r="J98" s="26"/>
      <x:c r="K98" s="26"/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</x:row>
    <x:row r="99">
      <x:c r="A99" s="26"/>
      <x:c r="B99" s="26"/>
      <x:c r="C99" s="26"/>
      <x:c r="D99" s="26"/>
      <x:c r="E99" s="26"/>
      <x:c r="F99" s="26"/>
      <x:c r="G99" s="26"/>
      <x:c r="H99" s="26"/>
      <x:c r="I99" s="26"/>
      <x:c r="J99" s="26"/>
      <x:c r="K99" s="26"/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</x:row>
    <x:row r="100">
      <x:c r="A100" s="26"/>
      <x:c r="B100" s="26"/>
      <x:c r="C100" s="26"/>
      <x:c r="D100" s="26"/>
      <x:c r="E100" s="26"/>
      <x:c r="F100" s="26"/>
      <x:c r="G100" s="26"/>
      <x:c r="H100" s="26"/>
      <x:c r="I100" s="26"/>
      <x:c r="J100" s="26"/>
      <x:c r="K100" s="26"/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</x:row>
    <x:row r="101">
      <x:c r="A101" s="26"/>
      <x:c r="B101" s="26"/>
      <x:c r="C101" s="26"/>
      <x:c r="D101" s="26"/>
      <x:c r="E101" s="26"/>
      <x:c r="F101" s="26"/>
      <x:c r="G101" s="26"/>
      <x:c r="H101" s="26"/>
      <x:c r="I101" s="26"/>
      <x:c r="J101" s="26"/>
      <x:c r="K101" s="26"/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</x:row>
    <x:row r="102">
      <x:c r="A102" s="26"/>
      <x:c r="B102" s="26"/>
      <x:c r="C102" s="26"/>
      <x:c r="D102" s="26"/>
      <x:c r="E102" s="26"/>
      <x:c r="F102" s="26"/>
      <x:c r="G102" s="26"/>
      <x:c r="H102" s="26"/>
      <x:c r="I102" s="26"/>
      <x:c r="J102" s="26"/>
      <x:c r="K102" s="26"/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  <x:c r="Z102" s="26"/>
    </x:row>
    <x:row r="103">
      <x:c r="A103" s="26"/>
      <x:c r="B103" s="26"/>
      <x:c r="C103" s="26"/>
      <x:c r="D103" s="26"/>
      <x:c r="E103" s="26"/>
      <x:c r="F103" s="26"/>
      <x:c r="G103" s="26"/>
      <x:c r="H103" s="26"/>
      <x:c r="I103" s="26"/>
      <x:c r="J103" s="26"/>
      <x:c r="K103" s="26"/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</x:row>
    <x:row r="104">
      <x:c r="A104" s="26"/>
      <x:c r="B104" s="26"/>
      <x:c r="C104" s="26"/>
      <x:c r="D104" s="26"/>
      <x:c r="E104" s="26"/>
      <x:c r="F104" s="26"/>
      <x:c r="G104" s="26"/>
      <x:c r="H104" s="26"/>
      <x:c r="I104" s="26"/>
      <x:c r="J104" s="26"/>
      <x:c r="K104" s="26"/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</x:row>
    <x:row r="105">
      <x:c r="A105" s="26"/>
      <x:c r="B105" s="26"/>
      <x:c r="C105" s="26"/>
      <x:c r="D105" s="26"/>
      <x:c r="E105" s="26"/>
      <x:c r="F105" s="26"/>
      <x:c r="G105" s="26"/>
      <x:c r="H105" s="26"/>
      <x:c r="I105" s="26"/>
      <x:c r="J105" s="26"/>
      <x:c r="K105" s="26"/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</x:row>
    <x:row r="106">
      <x:c r="A106" s="26"/>
      <x:c r="B106" s="26"/>
      <x:c r="C106" s="26"/>
      <x:c r="D106" s="26"/>
      <x:c r="E106" s="26"/>
      <x:c r="F106" s="26"/>
      <x:c r="G106" s="26"/>
      <x:c r="H106" s="26"/>
      <x:c r="I106" s="26"/>
      <x:c r="J106" s="26"/>
      <x:c r="K106" s="26"/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</x:row>
    <x:row r="107">
      <x:c r="A107" s="26"/>
      <x:c r="B107" s="26"/>
      <x:c r="C107" s="26"/>
      <x:c r="D107" s="26"/>
      <x:c r="E107" s="26"/>
      <x:c r="F107" s="26"/>
      <x:c r="G107" s="26"/>
      <x:c r="H107" s="26"/>
      <x:c r="I107" s="26"/>
      <x:c r="J107" s="26"/>
      <x:c r="K107" s="26"/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</x:row>
    <x:row r="108">
      <x:c r="A108" s="26"/>
      <x:c r="B108" s="26"/>
      <x:c r="C108" s="26"/>
      <x:c r="D108" s="26"/>
      <x:c r="E108" s="26"/>
      <x:c r="F108" s="26"/>
      <x:c r="G108" s="26"/>
      <x:c r="H108" s="26"/>
      <x:c r="I108" s="26"/>
      <x:c r="J108" s="26"/>
      <x:c r="K108" s="26"/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</x:row>
    <x:row r="109">
      <x:c r="A109" s="26"/>
      <x:c r="B109" s="26"/>
      <x:c r="C109" s="26"/>
      <x:c r="D109" s="26"/>
      <x:c r="E109" s="26"/>
      <x:c r="F109" s="26"/>
      <x:c r="G109" s="26"/>
      <x:c r="H109" s="26"/>
      <x:c r="I109" s="26"/>
      <x:c r="J109" s="26"/>
      <x:c r="K109" s="26"/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</x:row>
    <x:row r="110">
      <x:c r="A110" s="26"/>
      <x:c r="B110" s="26"/>
      <x:c r="C110" s="26"/>
      <x:c r="D110" s="26"/>
      <x:c r="E110" s="26"/>
      <x:c r="F110" s="26"/>
      <x:c r="G110" s="26"/>
      <x:c r="H110" s="26"/>
      <x:c r="I110" s="26"/>
      <x:c r="J110" s="26"/>
      <x:c r="K110" s="26"/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</x:row>
    <x:row r="111">
      <x:c r="A111" s="26"/>
      <x:c r="B111" s="26"/>
      <x:c r="C111" s="26"/>
      <x:c r="D111" s="26"/>
      <x:c r="E111" s="26"/>
      <x:c r="F111" s="26"/>
      <x:c r="G111" s="26"/>
      <x:c r="H111" s="26"/>
      <x:c r="I111" s="26"/>
      <x:c r="J111" s="26"/>
      <x:c r="K111" s="26"/>
      <x:c r="L111" s="26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/>
      <x:c r="Y111" s="26"/>
      <x:c r="Z111" s="26"/>
    </x:row>
    <x:row r="112">
      <x:c r="A112" s="26"/>
      <x:c r="B112" s="26"/>
      <x:c r="C112" s="26"/>
      <x:c r="D112" s="26"/>
      <x:c r="E112" s="26"/>
      <x:c r="F112" s="26"/>
      <x:c r="G112" s="26"/>
      <x:c r="H112" s="26"/>
      <x:c r="I112" s="26"/>
      <x:c r="J112" s="26"/>
      <x:c r="K112" s="26"/>
      <x:c r="L112" s="26"/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/>
      <x:c r="Z112" s="26"/>
    </x:row>
    <x:row r="113">
      <x:c r="A113" s="26"/>
      <x:c r="B113" s="26"/>
      <x:c r="C113" s="26"/>
      <x:c r="D113" s="26"/>
      <x:c r="E113" s="26"/>
      <x:c r="F113" s="26"/>
      <x:c r="G113" s="26"/>
      <x:c r="H113" s="26"/>
      <x:c r="I113" s="26"/>
      <x:c r="J113" s="26"/>
      <x:c r="K113" s="26"/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6"/>
    </x:row>
    <x:row r="114">
      <x:c r="A114" s="26"/>
      <x:c r="B114" s="26"/>
      <x:c r="C114" s="26"/>
      <x:c r="D114" s="26"/>
      <x:c r="E114" s="26"/>
      <x:c r="F114" s="26"/>
      <x:c r="G114" s="26"/>
      <x:c r="H114" s="26"/>
      <x:c r="I114" s="26"/>
      <x:c r="J114" s="26"/>
      <x:c r="K114" s="26"/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</x:row>
    <x:row r="115">
      <x:c r="A115" s="26"/>
      <x:c r="B115" s="26"/>
      <x:c r="C115" s="26"/>
      <x:c r="D115" s="26"/>
      <x:c r="E115" s="26"/>
      <x:c r="F115" s="26"/>
      <x:c r="G115" s="26"/>
      <x:c r="H115" s="26"/>
      <x:c r="I115" s="26"/>
      <x:c r="J115" s="26"/>
      <x:c r="K115" s="26"/>
      <x:c r="L115" s="26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6"/>
    </x:row>
    <x:row r="116">
      <x:c r="A116" s="26"/>
      <x:c r="B116" s="26"/>
      <x:c r="C116" s="26"/>
      <x:c r="D116" s="26"/>
      <x:c r="E116" s="26"/>
      <x:c r="F116" s="26"/>
      <x:c r="G116" s="26"/>
      <x:c r="H116" s="26"/>
      <x:c r="I116" s="26"/>
      <x:c r="J116" s="26"/>
      <x:c r="K116" s="26"/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</x:row>
    <x:row r="117">
      <x:c r="A117" s="26"/>
      <x:c r="B117" s="26"/>
      <x:c r="C117" s="26"/>
      <x:c r="D117" s="26"/>
      <x:c r="E117" s="26"/>
      <x:c r="F117" s="26"/>
      <x:c r="G117" s="26"/>
      <x:c r="H117" s="26"/>
      <x:c r="I117" s="26"/>
      <x:c r="J117" s="26"/>
      <x:c r="K117" s="26"/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</x:row>
    <x:row r="118">
      <x:c r="A118" s="26"/>
      <x:c r="B118" s="26"/>
      <x:c r="C118" s="26"/>
      <x:c r="D118" s="26"/>
      <x:c r="E118" s="26"/>
      <x:c r="F118" s="26"/>
      <x:c r="G118" s="26"/>
      <x:c r="H118" s="26"/>
      <x:c r="I118" s="26"/>
      <x:c r="J118" s="26"/>
      <x:c r="K118" s="26"/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</x:row>
    <x:row r="119">
      <x:c r="A119" s="26"/>
      <x:c r="B119" s="26"/>
      <x:c r="C119" s="26"/>
      <x:c r="D119" s="26"/>
      <x:c r="E119" s="26"/>
      <x:c r="F119" s="26"/>
      <x:c r="G119" s="26"/>
      <x:c r="H119" s="26"/>
      <x:c r="I119" s="26"/>
      <x:c r="J119" s="26"/>
      <x:c r="K119" s="26"/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</x:row>
    <x:row r="120">
      <x:c r="A120" s="26"/>
      <x:c r="B120" s="26"/>
      <x:c r="C120" s="26"/>
      <x:c r="D120" s="26"/>
      <x:c r="E120" s="26"/>
      <x:c r="F120" s="26"/>
      <x:c r="G120" s="26"/>
      <x:c r="H120" s="26"/>
      <x:c r="I120" s="26"/>
      <x:c r="J120" s="26"/>
      <x:c r="K120" s="26"/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</x:row>
    <x:row r="121">
      <x:c r="A121" s="26"/>
      <x:c r="B121" s="26"/>
      <x:c r="C121" s="26"/>
      <x:c r="D121" s="26"/>
      <x:c r="E121" s="26"/>
      <x:c r="F121" s="26"/>
      <x:c r="G121" s="26"/>
      <x:c r="H121" s="26"/>
      <x:c r="I121" s="26"/>
      <x:c r="J121" s="26"/>
      <x:c r="K121" s="26"/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6"/>
    </x:row>
    <x:row r="122">
      <x:c r="A122" s="26"/>
      <x:c r="B122" s="26"/>
      <x:c r="C122" s="26"/>
      <x:c r="D122" s="26"/>
      <x:c r="E122" s="26"/>
      <x:c r="F122" s="26"/>
      <x:c r="G122" s="26"/>
      <x:c r="H122" s="26"/>
      <x:c r="I122" s="26"/>
      <x:c r="J122" s="26"/>
      <x:c r="K122" s="26"/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6"/>
    </x:row>
    <x:row r="123">
      <x:c r="A123" s="26"/>
      <x:c r="B123" s="26"/>
      <x:c r="C123" s="26"/>
      <x:c r="D123" s="26"/>
      <x:c r="E123" s="26"/>
      <x:c r="F123" s="26"/>
      <x:c r="G123" s="26"/>
      <x:c r="H123" s="26"/>
      <x:c r="I123" s="26"/>
      <x:c r="J123" s="26"/>
      <x:c r="K123" s="26"/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6"/>
    </x:row>
    <x:row r="124">
      <x:c r="A124" s="26"/>
      <x:c r="B124" s="26"/>
      <x:c r="C124" s="26"/>
      <x:c r="D124" s="26"/>
      <x:c r="E124" s="26"/>
      <x:c r="F124" s="26"/>
      <x:c r="G124" s="26"/>
      <x:c r="H124" s="26"/>
      <x:c r="I124" s="26"/>
      <x:c r="J124" s="26"/>
      <x:c r="K124" s="26"/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</x:row>
    <x:row r="125">
      <x:c r="A125" s="26"/>
      <x:c r="B125" s="26"/>
      <x:c r="C125" s="26"/>
      <x:c r="D125" s="26"/>
      <x:c r="E125" s="26"/>
      <x:c r="F125" s="26"/>
      <x:c r="G125" s="26"/>
      <x:c r="H125" s="26"/>
      <x:c r="I125" s="26"/>
      <x:c r="J125" s="26"/>
      <x:c r="K125" s="26"/>
      <x:c r="L125" s="26"/>
      <x:c r="M125" s="26"/>
      <x:c r="N125" s="26"/>
      <x:c r="O125" s="26"/>
      <x:c r="P125" s="26"/>
      <x:c r="Q125" s="26"/>
      <x:c r="R125" s="26"/>
      <x:c r="S125" s="26"/>
      <x:c r="T125" s="26"/>
      <x:c r="U125" s="26"/>
      <x:c r="V125" s="26"/>
      <x:c r="W125" s="26"/>
      <x:c r="X125" s="26"/>
      <x:c r="Y125" s="26"/>
      <x:c r="Z125" s="26"/>
    </x:row>
    <x:row r="126">
      <x:c r="A126" s="26"/>
      <x:c r="B126" s="26"/>
      <x:c r="C126" s="26"/>
      <x:c r="D126" s="26"/>
      <x:c r="E126" s="26"/>
      <x:c r="F126" s="26"/>
      <x:c r="G126" s="26"/>
      <x:c r="H126" s="26"/>
      <x:c r="I126" s="26"/>
      <x:c r="J126" s="26"/>
      <x:c r="K126" s="26"/>
      <x:c r="L126" s="26"/>
      <x:c r="M126" s="26"/>
      <x:c r="N126" s="26"/>
      <x:c r="O126" s="26"/>
      <x:c r="P126" s="26"/>
      <x:c r="Q126" s="26"/>
      <x:c r="R126" s="26"/>
      <x:c r="S126" s="26"/>
      <x:c r="T126" s="26"/>
      <x:c r="U126" s="26"/>
      <x:c r="V126" s="26"/>
      <x:c r="W126" s="26"/>
      <x:c r="X126" s="26"/>
      <x:c r="Y126" s="26"/>
      <x:c r="Z126" s="26"/>
    </x:row>
    <x:row r="127">
      <x:c r="A127" s="26"/>
      <x:c r="B127" s="26"/>
      <x:c r="C127" s="26"/>
      <x:c r="D127" s="26"/>
      <x:c r="E127" s="26"/>
      <x:c r="F127" s="26"/>
      <x:c r="G127" s="26"/>
      <x:c r="H127" s="26"/>
      <x:c r="I127" s="26"/>
      <x:c r="J127" s="26"/>
      <x:c r="K127" s="26"/>
      <x:c r="L127" s="26"/>
      <x:c r="M127" s="26"/>
      <x:c r="N127" s="26"/>
      <x:c r="O127" s="26"/>
      <x:c r="P127" s="26"/>
      <x:c r="Q127" s="26"/>
      <x:c r="R127" s="26"/>
      <x:c r="S127" s="26"/>
      <x:c r="T127" s="26"/>
      <x:c r="U127" s="26"/>
      <x:c r="V127" s="26"/>
      <x:c r="W127" s="26"/>
      <x:c r="X127" s="26"/>
      <x:c r="Y127" s="26"/>
      <x:c r="Z127" s="26"/>
    </x:row>
    <x:row r="128">
      <x:c r="A128" s="26"/>
      <x:c r="B128" s="26"/>
      <x:c r="C128" s="26"/>
      <x:c r="D128" s="26"/>
      <x:c r="E128" s="26"/>
      <x:c r="F128" s="26"/>
      <x:c r="G128" s="26"/>
      <x:c r="H128" s="26"/>
      <x:c r="I128" s="26"/>
      <x:c r="J128" s="26"/>
      <x:c r="K128" s="26"/>
      <x:c r="L128" s="26"/>
      <x:c r="M128" s="26"/>
      <x:c r="N128" s="26"/>
      <x:c r="O128" s="26"/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6"/>
    </x:row>
    <x:row r="129">
      <x:c r="A129" s="26"/>
      <x:c r="B129" s="26"/>
      <x:c r="C129" s="26"/>
      <x:c r="D129" s="26"/>
      <x:c r="E129" s="26"/>
      <x:c r="F129" s="26"/>
      <x:c r="G129" s="26"/>
      <x:c r="H129" s="26"/>
      <x:c r="I129" s="26"/>
      <x:c r="J129" s="26"/>
      <x:c r="K129" s="26"/>
      <x:c r="L129" s="26"/>
      <x:c r="M129" s="26"/>
      <x:c r="N129" s="26"/>
      <x:c r="O129" s="26"/>
      <x:c r="P129" s="26"/>
      <x:c r="Q129" s="26"/>
      <x:c r="R129" s="26"/>
      <x:c r="S129" s="26"/>
      <x:c r="T129" s="26"/>
      <x:c r="U129" s="26"/>
      <x:c r="V129" s="26"/>
      <x:c r="W129" s="26"/>
      <x:c r="X129" s="26"/>
      <x:c r="Y129" s="26"/>
      <x:c r="Z129" s="26"/>
    </x:row>
    <x:row r="130">
      <x:c r="A130" s="26"/>
      <x:c r="B130" s="26"/>
      <x:c r="C130" s="26"/>
      <x:c r="D130" s="26"/>
      <x:c r="E130" s="26"/>
      <x:c r="F130" s="26"/>
      <x:c r="G130" s="26"/>
      <x:c r="H130" s="26"/>
      <x:c r="I130" s="26"/>
      <x:c r="J130" s="26"/>
      <x:c r="K130" s="26"/>
      <x:c r="L130" s="26"/>
      <x:c r="M130" s="26"/>
      <x:c r="N130" s="26"/>
      <x:c r="O130" s="26"/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/>
      <x:c r="Z130" s="26"/>
    </x:row>
    <x:row r="131">
      <x:c r="A131" s="26"/>
      <x:c r="B131" s="26"/>
      <x:c r="C131" s="26"/>
      <x:c r="D131" s="26"/>
      <x:c r="E131" s="26"/>
      <x:c r="F131" s="26"/>
      <x:c r="G131" s="26"/>
      <x:c r="H131" s="26"/>
      <x:c r="I131" s="26"/>
      <x:c r="J131" s="26"/>
      <x:c r="K131" s="26"/>
      <x:c r="L131" s="26"/>
      <x:c r="M131" s="26"/>
      <x:c r="N131" s="26"/>
      <x:c r="O131" s="26"/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6"/>
    </x:row>
    <x:row r="132">
      <x:c r="A132" s="26"/>
      <x:c r="B132" s="26"/>
      <x:c r="C132" s="26"/>
      <x:c r="D132" s="26"/>
      <x:c r="E132" s="26"/>
      <x:c r="F132" s="26"/>
      <x:c r="G132" s="26"/>
      <x:c r="H132" s="26"/>
      <x:c r="I132" s="26"/>
      <x:c r="J132" s="26"/>
      <x:c r="K132" s="26"/>
      <x:c r="L132" s="26"/>
      <x:c r="M132" s="26"/>
      <x:c r="N132" s="26"/>
      <x:c r="O132" s="26"/>
      <x:c r="P132" s="26"/>
      <x:c r="Q132" s="26"/>
      <x:c r="R132" s="26"/>
      <x:c r="S132" s="26"/>
      <x:c r="T132" s="26"/>
      <x:c r="U132" s="26"/>
      <x:c r="V132" s="26"/>
      <x:c r="W132" s="26"/>
      <x:c r="X132" s="26"/>
      <x:c r="Y132" s="26"/>
      <x:c r="Z132" s="26"/>
    </x:row>
    <x:row r="133">
      <x:c r="A133" s="26"/>
      <x:c r="B133" s="26"/>
      <x:c r="C133" s="26"/>
      <x:c r="D133" s="26"/>
      <x:c r="E133" s="26"/>
      <x:c r="F133" s="26"/>
      <x:c r="G133" s="26"/>
      <x:c r="H133" s="26"/>
      <x:c r="I133" s="26"/>
      <x:c r="J133" s="26"/>
      <x:c r="K133" s="26"/>
      <x:c r="L133" s="26"/>
      <x:c r="M133" s="26"/>
      <x:c r="N133" s="26"/>
      <x:c r="O133" s="26"/>
      <x:c r="P133" s="26"/>
      <x:c r="Q133" s="26"/>
      <x:c r="R133" s="26"/>
      <x:c r="S133" s="26"/>
      <x:c r="T133" s="26"/>
      <x:c r="U133" s="26"/>
      <x:c r="V133" s="26"/>
      <x:c r="W133" s="26"/>
      <x:c r="X133" s="26"/>
      <x:c r="Y133" s="26"/>
      <x:c r="Z133" s="26"/>
    </x:row>
    <x:row r="134">
      <x:c r="A134" s="26"/>
      <x:c r="B134" s="26"/>
      <x:c r="C134" s="26"/>
      <x:c r="D134" s="26"/>
      <x:c r="E134" s="26"/>
      <x:c r="F134" s="26"/>
      <x:c r="G134" s="26"/>
      <x:c r="H134" s="26"/>
      <x:c r="I134" s="26"/>
      <x:c r="J134" s="26"/>
      <x:c r="K134" s="26"/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6"/>
    </x:row>
    <x:row r="135">
      <x:c r="A135" s="26"/>
      <x:c r="B135" s="26"/>
      <x:c r="C135" s="26"/>
      <x:c r="D135" s="26"/>
      <x:c r="E135" s="26"/>
      <x:c r="F135" s="26"/>
      <x:c r="G135" s="26"/>
      <x:c r="H135" s="26"/>
      <x:c r="I135" s="26"/>
      <x:c r="J135" s="26"/>
      <x:c r="K135" s="26"/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</x:row>
    <x:row r="136">
      <x:c r="A136" s="26"/>
      <x:c r="B136" s="26"/>
      <x:c r="C136" s="26"/>
      <x:c r="D136" s="26"/>
      <x:c r="E136" s="26"/>
      <x:c r="F136" s="26"/>
      <x:c r="G136" s="26"/>
      <x:c r="H136" s="26"/>
      <x:c r="I136" s="26"/>
      <x:c r="J136" s="26"/>
      <x:c r="K136" s="26"/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</x:row>
    <x:row r="137">
      <x:c r="A137" s="26"/>
      <x:c r="B137" s="26"/>
      <x:c r="C137" s="26"/>
      <x:c r="D137" s="26"/>
      <x:c r="E137" s="26"/>
      <x:c r="F137" s="26"/>
      <x:c r="G137" s="26"/>
      <x:c r="H137" s="26"/>
      <x:c r="I137" s="26"/>
      <x:c r="J137" s="26"/>
      <x:c r="K137" s="26"/>
      <x:c r="L137" s="26"/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</x:row>
    <x:row r="138">
      <x:c r="A138" s="26"/>
      <x:c r="B138" s="26"/>
      <x:c r="C138" s="26"/>
      <x:c r="D138" s="26"/>
      <x:c r="E138" s="26"/>
      <x:c r="F138" s="26"/>
      <x:c r="G138" s="26"/>
      <x:c r="H138" s="26"/>
      <x:c r="I138" s="26"/>
      <x:c r="J138" s="26"/>
      <x:c r="K138" s="26"/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</x:row>
    <x:row r="139">
      <x:c r="A139" s="26"/>
      <x:c r="B139" s="26"/>
      <x:c r="C139" s="26"/>
      <x:c r="D139" s="26"/>
      <x:c r="E139" s="26"/>
      <x:c r="F139" s="26"/>
      <x:c r="G139" s="26"/>
      <x:c r="H139" s="26"/>
      <x:c r="I139" s="26"/>
      <x:c r="J139" s="26"/>
      <x:c r="K139" s="26"/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</x:row>
    <x:row r="140">
      <x:c r="A140" s="26"/>
      <x:c r="B140" s="26"/>
      <x:c r="C140" s="26"/>
      <x:c r="D140" s="26"/>
      <x:c r="E140" s="26"/>
      <x:c r="F140" s="26"/>
      <x:c r="G140" s="26"/>
      <x:c r="H140" s="26"/>
      <x:c r="I140" s="26"/>
      <x:c r="J140" s="26"/>
      <x:c r="K140" s="26"/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</x:row>
    <x:row r="141">
      <x:c r="A141" s="26"/>
      <x:c r="B141" s="26"/>
      <x:c r="C141" s="26"/>
      <x:c r="D141" s="26"/>
      <x:c r="E141" s="26"/>
      <x:c r="F141" s="26"/>
      <x:c r="G141" s="26"/>
      <x:c r="H141" s="26"/>
      <x:c r="I141" s="26"/>
      <x:c r="J141" s="26"/>
      <x:c r="K141" s="26"/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</x:row>
    <x:row r="142">
      <x:c r="A142" s="26"/>
      <x:c r="B142" s="26"/>
      <x:c r="C142" s="26"/>
      <x:c r="D142" s="26"/>
      <x:c r="E142" s="26"/>
      <x:c r="F142" s="26"/>
      <x:c r="G142" s="26"/>
      <x:c r="H142" s="26"/>
      <x:c r="I142" s="26"/>
      <x:c r="J142" s="26"/>
      <x:c r="K142" s="26"/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/>
      <x:c r="Z142" s="26"/>
    </x:row>
    <x:row r="143">
      <x:c r="A143" s="26"/>
      <x:c r="B143" s="26"/>
      <x:c r="C143" s="26"/>
      <x:c r="D143" s="26"/>
      <x:c r="E143" s="26"/>
      <x:c r="F143" s="26"/>
      <x:c r="G143" s="26"/>
      <x:c r="H143" s="26"/>
      <x:c r="I143" s="26"/>
      <x:c r="J143" s="26"/>
      <x:c r="K143" s="26"/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</x:row>
    <x:row r="144">
      <x:c r="A144" s="26"/>
      <x:c r="B144" s="26"/>
      <x:c r="C144" s="26"/>
      <x:c r="D144" s="26"/>
      <x:c r="E144" s="26"/>
      <x:c r="F144" s="26"/>
      <x:c r="G144" s="26"/>
      <x:c r="H144" s="26"/>
      <x:c r="I144" s="26"/>
      <x:c r="J144" s="26"/>
      <x:c r="K144" s="26"/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</x:row>
    <x:row r="145">
      <x:c r="A145" s="26"/>
      <x:c r="B145" s="26"/>
      <x:c r="C145" s="26"/>
      <x:c r="D145" s="26"/>
      <x:c r="E145" s="26"/>
      <x:c r="F145" s="26"/>
      <x:c r="G145" s="26"/>
      <x:c r="H145" s="26"/>
      <x:c r="I145" s="26"/>
      <x:c r="J145" s="26"/>
      <x:c r="K145" s="26"/>
      <x:c r="L145" s="26"/>
      <x:c r="M145" s="26"/>
      <x:c r="N145" s="26"/>
      <x:c r="O145" s="26"/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6"/>
    </x:row>
    <x:row r="146">
      <x:c r="A146" s="26"/>
      <x:c r="B146" s="26"/>
      <x:c r="C146" s="26"/>
      <x:c r="D146" s="26"/>
      <x:c r="E146" s="26"/>
      <x:c r="F146" s="26"/>
      <x:c r="G146" s="26"/>
      <x:c r="H146" s="26"/>
      <x:c r="I146" s="26"/>
      <x:c r="J146" s="26"/>
      <x:c r="K146" s="26"/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6"/>
    </x:row>
    <x:row r="147">
      <x:c r="A147" s="26"/>
      <x:c r="B147" s="26"/>
      <x:c r="C147" s="26"/>
      <x:c r="D147" s="26"/>
      <x:c r="E147" s="26"/>
      <x:c r="F147" s="26"/>
      <x:c r="G147" s="26"/>
      <x:c r="H147" s="26"/>
      <x:c r="I147" s="26"/>
      <x:c r="J147" s="26"/>
      <x:c r="K147" s="26"/>
      <x:c r="L147" s="26"/>
      <x:c r="M147" s="26"/>
      <x:c r="N147" s="26"/>
      <x:c r="O147" s="26"/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6"/>
    </x:row>
    <x:row r="148">
      <x:c r="A148" s="26"/>
      <x:c r="B148" s="26"/>
      <x:c r="C148" s="26"/>
      <x:c r="D148" s="26"/>
      <x:c r="E148" s="26"/>
      <x:c r="F148" s="26"/>
      <x:c r="G148" s="26"/>
      <x:c r="H148" s="26"/>
      <x:c r="I148" s="26"/>
      <x:c r="J148" s="26"/>
      <x:c r="K148" s="26"/>
      <x:c r="L148" s="26"/>
      <x:c r="M148" s="26"/>
      <x:c r="N148" s="26"/>
      <x:c r="O148" s="26"/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6"/>
    </x:row>
    <x:row r="149">
      <x:c r="A149" s="26"/>
      <x:c r="B149" s="26"/>
      <x:c r="C149" s="26"/>
      <x:c r="D149" s="26"/>
      <x:c r="E149" s="26"/>
      <x:c r="F149" s="26"/>
      <x:c r="G149" s="26"/>
      <x:c r="H149" s="26"/>
      <x:c r="I149" s="26"/>
      <x:c r="J149" s="26"/>
      <x:c r="K149" s="26"/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6"/>
    </x:row>
    <x:row r="150">
      <x:c r="A150" s="26"/>
      <x:c r="B150" s="26"/>
      <x:c r="C150" s="26"/>
      <x:c r="D150" s="26"/>
      <x:c r="E150" s="26"/>
      <x:c r="F150" s="26"/>
      <x:c r="G150" s="26"/>
      <x:c r="H150" s="26"/>
      <x:c r="I150" s="26"/>
      <x:c r="J150" s="26"/>
      <x:c r="K150" s="26"/>
      <x:c r="L150" s="26"/>
      <x:c r="M150" s="26"/>
      <x:c r="N150" s="26"/>
      <x:c r="O150" s="26"/>
      <x:c r="P150" s="26"/>
      <x:c r="Q150" s="26"/>
      <x:c r="R150" s="26"/>
      <x:c r="S150" s="26"/>
      <x:c r="T150" s="26"/>
      <x:c r="U150" s="26"/>
      <x:c r="V150" s="26"/>
      <x:c r="W150" s="26"/>
      <x:c r="X150" s="26"/>
      <x:c r="Y150" s="26"/>
      <x:c r="Z150" s="26"/>
    </x:row>
    <x:row r="151">
      <x:c r="A151" s="26"/>
      <x:c r="B151" s="26"/>
      <x:c r="C151" s="26"/>
      <x:c r="D151" s="26"/>
      <x:c r="E151" s="26"/>
      <x:c r="F151" s="26"/>
      <x:c r="G151" s="26"/>
      <x:c r="H151" s="26"/>
      <x:c r="I151" s="26"/>
      <x:c r="J151" s="26"/>
      <x:c r="K151" s="26"/>
      <x:c r="L151" s="26"/>
      <x:c r="M151" s="26"/>
      <x:c r="N151" s="26"/>
      <x:c r="O151" s="26"/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/>
      <x:c r="Z151" s="26"/>
    </x:row>
    <x:row r="152">
      <x:c r="A152" s="26"/>
      <x:c r="B152" s="26"/>
      <x:c r="C152" s="26"/>
      <x:c r="D152" s="26"/>
      <x:c r="E152" s="26"/>
      <x:c r="F152" s="26"/>
      <x:c r="G152" s="26"/>
      <x:c r="H152" s="26"/>
      <x:c r="I152" s="26"/>
      <x:c r="J152" s="26"/>
      <x:c r="K152" s="26"/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/>
      <x:c r="W152" s="26"/>
      <x:c r="X152" s="26"/>
      <x:c r="Y152" s="26"/>
      <x:c r="Z152" s="26"/>
    </x:row>
    <x:row r="153">
      <x:c r="A153" s="26"/>
      <x:c r="B153" s="26"/>
      <x:c r="C153" s="26"/>
      <x:c r="D153" s="26"/>
      <x:c r="E153" s="26"/>
      <x:c r="F153" s="26"/>
      <x:c r="G153" s="26"/>
      <x:c r="H153" s="26"/>
      <x:c r="I153" s="26"/>
      <x:c r="J153" s="26"/>
      <x:c r="K153" s="26"/>
      <x:c r="L153" s="26"/>
      <x:c r="M153" s="26"/>
      <x:c r="N153" s="26"/>
      <x:c r="O153" s="26"/>
      <x:c r="P153" s="26"/>
      <x:c r="Q153" s="26"/>
      <x:c r="R153" s="26"/>
      <x:c r="S153" s="26"/>
      <x:c r="T153" s="26"/>
      <x:c r="U153" s="26"/>
      <x:c r="V153" s="26"/>
      <x:c r="W153" s="26"/>
      <x:c r="X153" s="26"/>
      <x:c r="Y153" s="26"/>
      <x:c r="Z153" s="26"/>
    </x:row>
    <x:row r="154">
      <x:c r="A154" s="26"/>
      <x:c r="B154" s="26"/>
      <x:c r="C154" s="26"/>
      <x:c r="D154" s="26"/>
      <x:c r="E154" s="26"/>
      <x:c r="F154" s="26"/>
      <x:c r="G154" s="26"/>
      <x:c r="H154" s="26"/>
      <x:c r="I154" s="26"/>
      <x:c r="J154" s="26"/>
      <x:c r="K154" s="26"/>
      <x:c r="L154" s="26"/>
      <x:c r="M154" s="26"/>
      <x:c r="N154" s="26"/>
      <x:c r="O154" s="26"/>
      <x:c r="P154" s="26"/>
      <x:c r="Q154" s="26"/>
      <x:c r="R154" s="26"/>
      <x:c r="S154" s="26"/>
      <x:c r="T154" s="26"/>
      <x:c r="U154" s="26"/>
      <x:c r="V154" s="26"/>
      <x:c r="W154" s="26"/>
      <x:c r="X154" s="26"/>
      <x:c r="Y154" s="26"/>
      <x:c r="Z154" s="26"/>
    </x:row>
    <x:row r="155">
      <x:c r="A155" s="26"/>
      <x:c r="B155" s="26"/>
      <x:c r="C155" s="26"/>
      <x:c r="D155" s="26"/>
      <x:c r="E155" s="26"/>
      <x:c r="F155" s="26"/>
      <x:c r="G155" s="26"/>
      <x:c r="H155" s="26"/>
      <x:c r="I155" s="26"/>
      <x:c r="J155" s="26"/>
      <x:c r="K155" s="26"/>
      <x:c r="L155" s="26"/>
      <x:c r="M155" s="26"/>
      <x:c r="N155" s="26"/>
      <x:c r="O155" s="26"/>
      <x:c r="P155" s="26"/>
      <x:c r="Q155" s="26"/>
      <x:c r="R155" s="26"/>
      <x:c r="S155" s="26"/>
      <x:c r="T155" s="26"/>
      <x:c r="U155" s="26"/>
      <x:c r="V155" s="26"/>
      <x:c r="W155" s="26"/>
      <x:c r="X155" s="26"/>
      <x:c r="Y155" s="26"/>
      <x:c r="Z155" s="26"/>
    </x:row>
    <x:row r="156">
      <x:c r="A156" s="26"/>
      <x:c r="B156" s="26"/>
      <x:c r="C156" s="26"/>
      <x:c r="D156" s="26"/>
      <x:c r="E156" s="26"/>
      <x:c r="F156" s="26"/>
      <x:c r="G156" s="26"/>
      <x:c r="H156" s="26"/>
      <x:c r="I156" s="26"/>
      <x:c r="J156" s="26"/>
      <x:c r="K156" s="26"/>
      <x:c r="L156" s="26"/>
      <x:c r="M156" s="26"/>
      <x:c r="N156" s="26"/>
      <x:c r="O156" s="26"/>
      <x:c r="P156" s="26"/>
      <x:c r="Q156" s="26"/>
      <x:c r="R156" s="26"/>
      <x:c r="S156" s="26"/>
      <x:c r="T156" s="26"/>
      <x:c r="U156" s="26"/>
      <x:c r="V156" s="26"/>
      <x:c r="W156" s="26"/>
      <x:c r="X156" s="26"/>
      <x:c r="Y156" s="26"/>
      <x:c r="Z156" s="26"/>
    </x:row>
    <x:row r="157">
      <x:c r="A157" s="26"/>
      <x:c r="B157" s="26"/>
      <x:c r="C157" s="26"/>
      <x:c r="D157" s="26"/>
      <x:c r="E157" s="26"/>
      <x:c r="F157" s="26"/>
      <x:c r="G157" s="26"/>
      <x:c r="H157" s="26"/>
      <x:c r="I157" s="26"/>
      <x:c r="J157" s="26"/>
      <x:c r="K157" s="26"/>
      <x:c r="L157" s="26"/>
      <x:c r="M157" s="26"/>
      <x:c r="N157" s="26"/>
      <x:c r="O157" s="26"/>
      <x:c r="P157" s="26"/>
      <x:c r="Q157" s="26"/>
      <x:c r="R157" s="26"/>
      <x:c r="S157" s="26"/>
      <x:c r="T157" s="26"/>
      <x:c r="U157" s="26"/>
      <x:c r="V157" s="26"/>
      <x:c r="W157" s="26"/>
      <x:c r="X157" s="26"/>
      <x:c r="Y157" s="26"/>
      <x:c r="Z157" s="26"/>
    </x:row>
    <x:row r="158">
      <x:c r="A158" s="26"/>
      <x:c r="B158" s="26"/>
      <x:c r="C158" s="26"/>
      <x:c r="D158" s="26"/>
      <x:c r="E158" s="26"/>
      <x:c r="F158" s="26"/>
      <x:c r="G158" s="26"/>
      <x:c r="H158" s="26"/>
      <x:c r="I158" s="26"/>
      <x:c r="J158" s="26"/>
      <x:c r="K158" s="26"/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</x:row>
    <x:row r="159">
      <x:c r="A159" s="26"/>
      <x:c r="B159" s="26"/>
      <x:c r="C159" s="26"/>
      <x:c r="D159" s="26"/>
      <x:c r="E159" s="26"/>
      <x:c r="F159" s="26"/>
      <x:c r="G159" s="26"/>
      <x:c r="H159" s="26"/>
      <x:c r="I159" s="26"/>
      <x:c r="J159" s="26"/>
      <x:c r="K159" s="26"/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</x:row>
    <x:row r="160">
      <x:c r="A160" s="26"/>
      <x:c r="B160" s="26"/>
      <x:c r="C160" s="26"/>
      <x:c r="D160" s="26"/>
      <x:c r="E160" s="26"/>
      <x:c r="F160" s="26"/>
      <x:c r="G160" s="26"/>
      <x:c r="H160" s="26"/>
      <x:c r="I160" s="26"/>
      <x:c r="J160" s="26"/>
      <x:c r="K160" s="26"/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</x:row>
    <x:row r="161">
      <x:c r="A161" s="26"/>
      <x:c r="B161" s="26"/>
      <x:c r="C161" s="26"/>
      <x:c r="D161" s="26"/>
      <x:c r="E161" s="26"/>
      <x:c r="F161" s="26"/>
      <x:c r="G161" s="26"/>
      <x:c r="H161" s="26"/>
      <x:c r="I161" s="26"/>
      <x:c r="J161" s="26"/>
      <x:c r="K161" s="26"/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</x:row>
    <x:row r="162">
      <x:c r="A162" s="26"/>
      <x:c r="B162" s="26"/>
      <x:c r="C162" s="26"/>
      <x:c r="D162" s="26"/>
      <x:c r="E162" s="26"/>
      <x:c r="F162" s="26"/>
      <x:c r="G162" s="26"/>
      <x:c r="H162" s="26"/>
      <x:c r="I162" s="26"/>
      <x:c r="J162" s="26"/>
      <x:c r="K162" s="26"/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</x:row>
    <x:row r="163">
      <x:c r="A163" s="26"/>
      <x:c r="B163" s="26"/>
      <x:c r="C163" s="26"/>
      <x:c r="D163" s="26"/>
      <x:c r="E163" s="26"/>
      <x:c r="F163" s="26"/>
      <x:c r="G163" s="26"/>
      <x:c r="H163" s="26"/>
      <x:c r="I163" s="26"/>
      <x:c r="J163" s="26"/>
      <x:c r="K163" s="26"/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</x:row>
    <x:row r="164">
      <x:c r="A164" s="26"/>
      <x:c r="B164" s="26"/>
      <x:c r="C164" s="26"/>
      <x:c r="D164" s="26"/>
      <x:c r="E164" s="26"/>
      <x:c r="F164" s="26"/>
      <x:c r="G164" s="26"/>
      <x:c r="H164" s="26"/>
      <x:c r="I164" s="26"/>
      <x:c r="J164" s="26"/>
      <x:c r="K164" s="26"/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</x:row>
    <x:row r="165">
      <x:c r="A165" s="26"/>
      <x:c r="B165" s="26"/>
      <x:c r="C165" s="26"/>
      <x:c r="D165" s="26"/>
      <x:c r="E165" s="26"/>
      <x:c r="F165" s="26"/>
      <x:c r="G165" s="26"/>
      <x:c r="H165" s="26"/>
      <x:c r="I165" s="26"/>
      <x:c r="J165" s="26"/>
      <x:c r="K165" s="26"/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</x:row>
    <x:row r="166">
      <x:c r="A166" s="26"/>
      <x:c r="B166" s="26"/>
      <x:c r="C166" s="26"/>
      <x:c r="D166" s="26"/>
      <x:c r="E166" s="26"/>
      <x:c r="F166" s="26"/>
      <x:c r="G166" s="26"/>
      <x:c r="H166" s="26"/>
      <x:c r="I166" s="26"/>
      <x:c r="J166" s="26"/>
      <x:c r="K166" s="26"/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</x:row>
    <x:row r="167">
      <x:c r="A167" s="26"/>
      <x:c r="B167" s="26"/>
      <x:c r="C167" s="26"/>
      <x:c r="D167" s="26"/>
      <x:c r="E167" s="26"/>
      <x:c r="F167" s="26"/>
      <x:c r="G167" s="26"/>
      <x:c r="H167" s="26"/>
      <x:c r="I167" s="26"/>
      <x:c r="J167" s="26"/>
      <x:c r="K167" s="26"/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</x:row>
    <x:row r="168">
      <x:c r="A168" s="26"/>
      <x:c r="B168" s="26"/>
      <x:c r="C168" s="26"/>
      <x:c r="D168" s="26"/>
      <x:c r="E168" s="26"/>
      <x:c r="F168" s="26"/>
      <x:c r="G168" s="26"/>
      <x:c r="H168" s="26"/>
      <x:c r="I168" s="26"/>
      <x:c r="J168" s="26"/>
      <x:c r="K168" s="26"/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</x:row>
    <x:row r="169">
      <x:c r="A169" s="26"/>
      <x:c r="B169" s="26"/>
      <x:c r="C169" s="26"/>
      <x:c r="D169" s="26"/>
      <x:c r="E169" s="26"/>
      <x:c r="F169" s="26"/>
      <x:c r="G169" s="26"/>
      <x:c r="H169" s="26"/>
      <x:c r="I169" s="26"/>
      <x:c r="J169" s="26"/>
      <x:c r="K169" s="26"/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</x:row>
    <x:row r="170">
      <x:c r="A170" s="26"/>
      <x:c r="B170" s="26"/>
      <x:c r="C170" s="26"/>
      <x:c r="D170" s="26"/>
      <x:c r="E170" s="26"/>
      <x:c r="F170" s="26"/>
      <x:c r="G170" s="26"/>
      <x:c r="H170" s="26"/>
      <x:c r="I170" s="26"/>
      <x:c r="J170" s="26"/>
      <x:c r="K170" s="26"/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</x:row>
    <x:row r="171">
      <x:c r="A171" s="26"/>
      <x:c r="B171" s="26"/>
      <x:c r="C171" s="26"/>
      <x:c r="D171" s="26"/>
      <x:c r="E171" s="26"/>
      <x:c r="F171" s="26"/>
      <x:c r="G171" s="26"/>
      <x:c r="H171" s="26"/>
      <x:c r="I171" s="26"/>
      <x:c r="J171" s="26"/>
      <x:c r="K171" s="26"/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</x:row>
    <x:row r="172">
      <x:c r="A172" s="26"/>
      <x:c r="B172" s="26"/>
      <x:c r="C172" s="26"/>
      <x:c r="D172" s="26"/>
      <x:c r="E172" s="26"/>
      <x:c r="F172" s="26"/>
      <x:c r="G172" s="26"/>
      <x:c r="H172" s="26"/>
      <x:c r="I172" s="26"/>
      <x:c r="J172" s="26"/>
      <x:c r="K172" s="26"/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</x:row>
    <x:row r="173">
      <x:c r="A173" s="26"/>
      <x:c r="B173" s="26"/>
      <x:c r="C173" s="26"/>
      <x:c r="D173" s="26"/>
      <x:c r="E173" s="26"/>
      <x:c r="F173" s="26"/>
      <x:c r="G173" s="26"/>
      <x:c r="H173" s="26"/>
      <x:c r="I173" s="26"/>
      <x:c r="J173" s="26"/>
      <x:c r="K173" s="26"/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</x:row>
    <x:row r="174">
      <x:c r="A174" s="26"/>
      <x:c r="B174" s="26"/>
      <x:c r="C174" s="26"/>
      <x:c r="D174" s="26"/>
      <x:c r="E174" s="26"/>
      <x:c r="F174" s="26"/>
      <x:c r="G174" s="26"/>
      <x:c r="H174" s="26"/>
      <x:c r="I174" s="26"/>
      <x:c r="J174" s="26"/>
      <x:c r="K174" s="26"/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</x:row>
    <x:row r="175">
      <x:c r="A175" s="26"/>
      <x:c r="B175" s="26"/>
      <x:c r="C175" s="26"/>
      <x:c r="D175" s="26"/>
      <x:c r="E175" s="26"/>
      <x:c r="F175" s="26"/>
      <x:c r="G175" s="26"/>
      <x:c r="H175" s="26"/>
      <x:c r="I175" s="26"/>
      <x:c r="J175" s="26"/>
      <x:c r="K175" s="26"/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</x:row>
    <x:row r="176">
      <x:c r="A176" s="26"/>
      <x:c r="B176" s="26"/>
      <x:c r="C176" s="26"/>
      <x:c r="D176" s="26"/>
      <x:c r="E176" s="26"/>
      <x:c r="F176" s="26"/>
      <x:c r="G176" s="26"/>
      <x:c r="H176" s="26"/>
      <x:c r="I176" s="26"/>
      <x:c r="J176" s="26"/>
      <x:c r="K176" s="26"/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</x:row>
    <x:row r="177">
      <x:c r="A177" s="26"/>
      <x:c r="B177" s="26"/>
      <x:c r="C177" s="26"/>
      <x:c r="D177" s="26"/>
      <x:c r="E177" s="26"/>
      <x:c r="F177" s="26"/>
      <x:c r="G177" s="26"/>
      <x:c r="H177" s="26"/>
      <x:c r="I177" s="26"/>
      <x:c r="J177" s="26"/>
      <x:c r="K177" s="26"/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</x:row>
    <x:row r="178">
      <x:c r="A178" s="26"/>
      <x:c r="B178" s="26"/>
      <x:c r="C178" s="26"/>
      <x:c r="D178" s="26"/>
      <x:c r="E178" s="26"/>
      <x:c r="F178" s="26"/>
      <x:c r="G178" s="26"/>
      <x:c r="H178" s="26"/>
      <x:c r="I178" s="26"/>
      <x:c r="J178" s="26"/>
      <x:c r="K178" s="26"/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</x:row>
    <x:row r="179">
      <x:c r="A179" s="26"/>
      <x:c r="B179" s="26"/>
      <x:c r="C179" s="26"/>
      <x:c r="D179" s="26"/>
      <x:c r="E179" s="26"/>
      <x:c r="F179" s="26"/>
      <x:c r="G179" s="26"/>
      <x:c r="H179" s="26"/>
      <x:c r="I179" s="26"/>
      <x:c r="J179" s="26"/>
      <x:c r="K179" s="26"/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</x:row>
    <x:row r="180">
      <x:c r="A180" s="26"/>
      <x:c r="B180" s="26"/>
      <x:c r="C180" s="26"/>
      <x:c r="D180" s="26"/>
      <x:c r="E180" s="26"/>
      <x:c r="F180" s="26"/>
      <x:c r="G180" s="26"/>
      <x:c r="H180" s="26"/>
      <x:c r="I180" s="26"/>
      <x:c r="J180" s="26"/>
      <x:c r="K180" s="26"/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</x:row>
    <x:row r="181">
      <x:c r="A181" s="26"/>
      <x:c r="B181" s="26"/>
      <x:c r="C181" s="26"/>
      <x:c r="D181" s="26"/>
      <x:c r="E181" s="26"/>
      <x:c r="F181" s="26"/>
      <x:c r="G181" s="26"/>
      <x:c r="H181" s="26"/>
      <x:c r="I181" s="26"/>
      <x:c r="J181" s="26"/>
      <x:c r="K181" s="26"/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</x:row>
    <x:row r="182">
      <x:c r="A182" s="26"/>
      <x:c r="B182" s="26"/>
      <x:c r="C182" s="26"/>
      <x:c r="D182" s="26"/>
      <x:c r="E182" s="26"/>
      <x:c r="F182" s="26"/>
      <x:c r="G182" s="26"/>
      <x:c r="H182" s="26"/>
      <x:c r="I182" s="26"/>
      <x:c r="J182" s="26"/>
      <x:c r="K182" s="26"/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</x:row>
    <x:row r="183">
      <x:c r="A183" s="26"/>
      <x:c r="B183" s="26"/>
      <x:c r="C183" s="26"/>
      <x:c r="D183" s="26"/>
      <x:c r="E183" s="26"/>
      <x:c r="F183" s="26"/>
      <x:c r="G183" s="26"/>
      <x:c r="H183" s="26"/>
      <x:c r="I183" s="26"/>
      <x:c r="J183" s="26"/>
      <x:c r="K183" s="26"/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</x:row>
    <x:row r="184">
      <x:c r="A184" s="26"/>
      <x:c r="B184" s="26"/>
      <x:c r="C184" s="26"/>
      <x:c r="D184" s="26"/>
      <x:c r="E184" s="26"/>
      <x:c r="F184" s="26"/>
      <x:c r="G184" s="26"/>
      <x:c r="H184" s="26"/>
      <x:c r="I184" s="26"/>
      <x:c r="J184" s="26"/>
      <x:c r="K184" s="26"/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</x:row>
    <x:row r="185">
      <x:c r="A185" s="26"/>
      <x:c r="B185" s="26"/>
      <x:c r="C185" s="26"/>
      <x:c r="D185" s="26"/>
      <x:c r="E185" s="26"/>
      <x:c r="F185" s="26"/>
      <x:c r="G185" s="26"/>
      <x:c r="H185" s="26"/>
      <x:c r="I185" s="26"/>
      <x:c r="J185" s="26"/>
      <x:c r="K185" s="26"/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</x:row>
    <x:row r="186">
      <x:c r="A186" s="26"/>
      <x:c r="B186" s="26"/>
      <x:c r="C186" s="26"/>
      <x:c r="D186" s="26"/>
      <x:c r="E186" s="26"/>
      <x:c r="F186" s="26"/>
      <x:c r="G186" s="26"/>
      <x:c r="H186" s="26"/>
      <x:c r="I186" s="26"/>
      <x:c r="J186" s="26"/>
      <x:c r="K186" s="26"/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</x:row>
    <x:row r="187">
      <x:c r="A187" s="26"/>
      <x:c r="B187" s="26"/>
      <x:c r="C187" s="26"/>
      <x:c r="D187" s="26"/>
      <x:c r="E187" s="26"/>
      <x:c r="F187" s="26"/>
      <x:c r="G187" s="26"/>
      <x:c r="H187" s="26"/>
      <x:c r="I187" s="26"/>
      <x:c r="J187" s="26"/>
      <x:c r="K187" s="26"/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</x:row>
    <x:row r="188">
      <x:c r="A188" s="26"/>
      <x:c r="B188" s="26"/>
      <x:c r="C188" s="26"/>
      <x:c r="D188" s="26"/>
      <x:c r="E188" s="26"/>
      <x:c r="F188" s="26"/>
      <x:c r="G188" s="26"/>
      <x:c r="H188" s="26"/>
      <x:c r="I188" s="26"/>
      <x:c r="J188" s="26"/>
      <x:c r="K188" s="26"/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</x:row>
    <x:row r="189">
      <x:c r="A189" s="26"/>
      <x:c r="B189" s="26"/>
      <x:c r="C189" s="26"/>
      <x:c r="D189" s="26"/>
      <x:c r="E189" s="26"/>
      <x:c r="F189" s="26"/>
      <x:c r="G189" s="26"/>
      <x:c r="H189" s="26"/>
      <x:c r="I189" s="26"/>
      <x:c r="J189" s="26"/>
      <x:c r="K189" s="26"/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</x:row>
    <x:row r="190">
      <x:c r="A190" s="26"/>
      <x:c r="B190" s="26"/>
      <x:c r="C190" s="26"/>
      <x:c r="D190" s="26"/>
      <x:c r="E190" s="26"/>
      <x:c r="F190" s="26"/>
      <x:c r="G190" s="26"/>
      <x:c r="H190" s="26"/>
      <x:c r="I190" s="26"/>
      <x:c r="J190" s="26"/>
      <x:c r="K190" s="26"/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</x:row>
    <x:row r="191">
      <x:c r="A191" s="26"/>
      <x:c r="B191" s="26"/>
      <x:c r="C191" s="26"/>
      <x:c r="D191" s="26"/>
      <x:c r="E191" s="26"/>
      <x:c r="F191" s="26"/>
      <x:c r="G191" s="26"/>
      <x:c r="H191" s="26"/>
      <x:c r="I191" s="26"/>
      <x:c r="J191" s="26"/>
      <x:c r="K191" s="26"/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</x:row>
    <x:row r="192">
      <x:c r="A192" s="26"/>
      <x:c r="B192" s="26"/>
      <x:c r="C192" s="26"/>
      <x:c r="D192" s="26"/>
      <x:c r="E192" s="26"/>
      <x:c r="F192" s="26"/>
      <x:c r="G192" s="26"/>
      <x:c r="H192" s="26"/>
      <x:c r="I192" s="26"/>
      <x:c r="J192" s="26"/>
      <x:c r="K192" s="26"/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</x:row>
    <x:row r="193">
      <x:c r="A193" s="26"/>
      <x:c r="B193" s="26"/>
      <x:c r="C193" s="26"/>
      <x:c r="D193" s="26"/>
      <x:c r="E193" s="26"/>
      <x:c r="F193" s="26"/>
      <x:c r="G193" s="26"/>
      <x:c r="H193" s="26"/>
      <x:c r="I193" s="26"/>
      <x:c r="J193" s="26"/>
      <x:c r="K193" s="26"/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</x:row>
    <x:row r="194">
      <x:c r="A194" s="26"/>
      <x:c r="B194" s="26"/>
      <x:c r="C194" s="26"/>
      <x:c r="D194" s="26"/>
      <x:c r="E194" s="26"/>
      <x:c r="F194" s="26"/>
      <x:c r="G194" s="26"/>
      <x:c r="H194" s="26"/>
      <x:c r="I194" s="26"/>
      <x:c r="J194" s="26"/>
      <x:c r="K194" s="26"/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</x:row>
    <x:row r="195">
      <x:c r="A195" s="26"/>
      <x:c r="B195" s="26"/>
      <x:c r="C195" s="26"/>
      <x:c r="D195" s="26"/>
      <x:c r="E195" s="26"/>
      <x:c r="F195" s="26"/>
      <x:c r="G195" s="26"/>
      <x:c r="H195" s="26"/>
      <x:c r="I195" s="26"/>
      <x:c r="J195" s="26"/>
      <x:c r="K195" s="26"/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</x:row>
    <x:row r="196">
      <x:c r="A196" s="26"/>
      <x:c r="B196" s="26"/>
      <x:c r="C196" s="26"/>
      <x:c r="D196" s="26"/>
      <x:c r="E196" s="26"/>
      <x:c r="F196" s="26"/>
      <x:c r="G196" s="26"/>
      <x:c r="H196" s="26"/>
      <x:c r="I196" s="26"/>
      <x:c r="J196" s="26"/>
      <x:c r="K196" s="26"/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</x:row>
    <x:row r="197">
      <x:c r="A197" s="26"/>
      <x:c r="B197" s="26"/>
      <x:c r="C197" s="26"/>
      <x:c r="D197" s="26"/>
      <x:c r="E197" s="26"/>
      <x:c r="F197" s="26"/>
      <x:c r="G197" s="26"/>
      <x:c r="H197" s="26"/>
      <x:c r="I197" s="26"/>
      <x:c r="J197" s="26"/>
      <x:c r="K197" s="26"/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</x:row>
    <x:row r="198">
      <x:c r="A198" s="26"/>
      <x:c r="B198" s="26"/>
      <x:c r="C198" s="26"/>
      <x:c r="D198" s="26"/>
      <x:c r="E198" s="26"/>
      <x:c r="F198" s="26"/>
      <x:c r="G198" s="26"/>
      <x:c r="H198" s="26"/>
      <x:c r="I198" s="26"/>
      <x:c r="J198" s="26"/>
      <x:c r="K198" s="26"/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</x:row>
    <x:row r="199">
      <x:c r="A199" s="26"/>
      <x:c r="B199" s="26"/>
      <x:c r="C199" s="26"/>
      <x:c r="D199" s="26"/>
      <x:c r="E199" s="26"/>
      <x:c r="F199" s="26"/>
      <x:c r="G199" s="26"/>
      <x:c r="H199" s="26"/>
      <x:c r="I199" s="26"/>
      <x:c r="J199" s="26"/>
      <x:c r="K199" s="26"/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</x:row>
    <x:row r="200">
      <x:c r="A200" s="26"/>
      <x:c r="B200" s="26"/>
      <x:c r="C200" s="26"/>
      <x:c r="D200" s="26"/>
      <x:c r="E200" s="26"/>
      <x:c r="F200" s="26"/>
      <x:c r="G200" s="26"/>
      <x:c r="H200" s="26"/>
      <x:c r="I200" s="26"/>
      <x:c r="J200" s="26"/>
      <x:c r="K200" s="26"/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36b4ee9fed44a8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8" customHeight="1">
      <x:c r="A1" s="50" t="str">
        <x:v>Cohort Retention Model</x:v>
      </x:c>
      <x:c r="B1" s="50"/>
      <x:c r="C1" s="50"/>
      <x:c r="D1" s="50"/>
      <x:c r="E1" s="50"/>
      <x:c r="F1" s="50"/>
      <x:c r="G1" s="50"/>
      <x:c r="H1" s="50"/>
      <x:c r="I1" s="50"/>
      <x:c r="J1" s="50"/>
      <x:c r="K1" s="50"/>
      <x:c r="L1" s="50"/>
      <x:c r="M1" s="50"/>
      <x:c r="N1" s="50"/>
      <x:c r="O1" s="26"/>
      <x:c r="P1" s="26"/>
      <x:c r="Q1" s="26"/>
      <x:c r="R1" s="26"/>
      <x:c r="S1" s="26"/>
      <x:c r="T1" s="26"/>
      <x:c r="U1" s="26"/>
      <x:c r="V1" s="26"/>
      <x:c r="W1" s="26"/>
      <x:c r="X1" s="26"/>
      <x:c r="Y1" s="26"/>
      <x:c r="Z1" s="26"/>
    </x:row>
    <x:row r="2">
      <x:c r="A2" s="26"/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</x:row>
    <x:row r="3">
      <x:c r="A3" s="14" t="str">
        <x:v>Cohort Month</x:v>
      </x:c>
      <x:c r="B3" s="14" t="str">
        <x:v>New Paid Users</x:v>
      </x:c>
      <x:c r="C3" s="14" t="str">
        <x:v>Month 0</x:v>
      </x:c>
      <x:c r="D3" s="14" t="str">
        <x:v>Month 1</x:v>
      </x:c>
      <x:c r="E3" s="14" t="str">
        <x:v>Month 2</x:v>
      </x:c>
      <x:c r="F3" s="14" t="str">
        <x:v>Month 3</x:v>
      </x:c>
      <x:c r="G3" s="14" t="str">
        <x:v>Month 4</x:v>
      </x:c>
      <x:c r="H3" s="14" t="str">
        <x:v>Month 5</x:v>
      </x:c>
      <x:c r="I3" s="14" t="str">
        <x:v>Month 6</x:v>
      </x:c>
      <x:c r="J3" s="14" t="str">
        <x:v>Month 7</x:v>
      </x:c>
      <x:c r="K3" s="14" t="str">
        <x:v>Month 8</x:v>
      </x:c>
      <x:c r="L3" s="14" t="str">
        <x:v>Month 9</x:v>
      </x:c>
      <x:c r="M3" s="14" t="str">
        <x:v>Month 10</x:v>
      </x:c>
      <x:c r="N3" s="14" t="str">
        <x:v>Month 11</x:v>
      </x:c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</x:row>
    <x:row r="4">
      <x:c r="A4" s="52" t="str">
        <x:f>Funnel!B4</x:f>
        <x:v>2026-06-01</x:v>
      </x:c>
      <x:c r="B4" s="64" t="n">
        <x:f>Funnel!H4</x:f>
        <x:v>5.940000000000001</x:v>
      </x:c>
      <x:c r="C4" s="64" t="n">
        <x:f>$B4*POWER(1-INDEX(Scenarios!$B$9:$D$9,1,MATCH(Assumptions!$C$4,Scenarios!$B$3:$D$3,0)),0)</x:f>
        <x:v>5.940000000000001</x:v>
      </x:c>
      <x:c r="D4" s="64" t="n">
        <x:f>$B4*POWER(1-INDEX(Scenarios!$B$9:$D$9,1,MATCH(Assumptions!$C$4,Scenarios!$B$3:$D$3,0)),1)</x:f>
        <x:v>5.643000000000001</x:v>
      </x:c>
      <x:c r="E4" s="64" t="n">
        <x:f>$B4*POWER(1-INDEX(Scenarios!$B$9:$D$9,1,MATCH(Assumptions!$C$4,Scenarios!$B$3:$D$3,0)),2)</x:f>
        <x:v>5.360850000000001</x:v>
      </x:c>
      <x:c r="F4" s="64" t="n">
        <x:f>$B4*POWER(1-INDEX(Scenarios!$B$9:$D$9,1,MATCH(Assumptions!$C$4,Scenarios!$B$3:$D$3,0)),3)</x:f>
        <x:v>5.0928075</x:v>
      </x:c>
      <x:c r="G4" s="64" t="n">
        <x:f>$B4*POWER(1-INDEX(Scenarios!$B$9:$D$9,1,MATCH(Assumptions!$C$4,Scenarios!$B$3:$D$3,0)),4)</x:f>
        <x:v>4.838167125000001</x:v>
      </x:c>
      <x:c r="H4" s="64" t="n">
        <x:f>$B4*POWER(1-INDEX(Scenarios!$B$9:$D$9,1,MATCH(Assumptions!$C$4,Scenarios!$B$3:$D$3,0)),5)</x:f>
        <x:v>4.596258768750001</x:v>
      </x:c>
      <x:c r="I4" s="64" t="n">
        <x:f>$B4*POWER(1-INDEX(Scenarios!$B$9:$D$9,1,MATCH(Assumptions!$C$4,Scenarios!$B$3:$D$3,0)),6)</x:f>
        <x:v>4.3664458303125</x:v>
      </x:c>
      <x:c r="J4" s="64" t="n">
        <x:f>$B4*POWER(1-INDEX(Scenarios!$B$9:$D$9,1,MATCH(Assumptions!$C$4,Scenarios!$B$3:$D$3,0)),7)</x:f>
        <x:v>4.148123538796876</x:v>
      </x:c>
      <x:c r="K4" s="64" t="n">
        <x:f>$B4*POWER(1-INDEX(Scenarios!$B$9:$D$9,1,MATCH(Assumptions!$C$4,Scenarios!$B$3:$D$3,0)),8)</x:f>
        <x:v>3.940717361857032</x:v>
      </x:c>
      <x:c r="L4" s="64" t="n">
        <x:f>$B4*POWER(1-INDEX(Scenarios!$B$9:$D$9,1,MATCH(Assumptions!$C$4,Scenarios!$B$3:$D$3,0)),9)</x:f>
        <x:v>3.7436814937641802</x:v>
      </x:c>
      <x:c r="M4" s="64" t="n">
        <x:f>$B4*POWER(1-INDEX(Scenarios!$B$9:$D$9,1,MATCH(Assumptions!$C$4,Scenarios!$B$3:$D$3,0)),10)</x:f>
        <x:v>3.5564974190759715</x:v>
      </x:c>
      <x:c r="N4" s="64" t="n">
        <x:f>$B4*POWER(1-INDEX(Scenarios!$B$9:$D$9,1,MATCH(Assumptions!$C$4,Scenarios!$B$3:$D$3,0)),11)</x:f>
        <x:v>3.3786725481221724</x:v>
      </x:c>
      <x:c r="O4" s="26"/>
      <x:c r="P4" s="26"/>
      <x:c r="Q4" s="26"/>
      <x:c r="R4" s="26"/>
      <x:c r="S4" s="26"/>
      <x:c r="T4" s="26"/>
      <x:c r="U4" s="26"/>
      <x:c r="V4" s="26"/>
      <x:c r="W4" s="26"/>
      <x:c r="X4" s="26"/>
      <x:c r="Y4" s="26"/>
      <x:c r="Z4" s="26"/>
    </x:row>
    <x:row r="5">
      <x:c r="A5" s="52" t="n">
        <x:f>Funnel!B5</x:f>
        <x:v>46204</x:v>
      </x:c>
      <x:c r="B5" s="64" t="n">
        <x:f>Funnel!H5</x:f>
        <x:v>5.940000000000001</x:v>
      </x:c>
      <x:c r="C5" s="64" t="n">
        <x:f>$B5*POWER(1-INDEX(Scenarios!$B$9:$D$9,1,MATCH(Assumptions!$C$4,Scenarios!$B$3:$D$3,0)),0)</x:f>
        <x:v>5.940000000000001</x:v>
      </x:c>
      <x:c r="D5" s="64" t="n">
        <x:f>$B5*POWER(1-INDEX(Scenarios!$B$9:$D$9,1,MATCH(Assumptions!$C$4,Scenarios!$B$3:$D$3,0)),1)</x:f>
        <x:v>5.643000000000001</x:v>
      </x:c>
      <x:c r="E5" s="64" t="n">
        <x:f>$B5*POWER(1-INDEX(Scenarios!$B$9:$D$9,1,MATCH(Assumptions!$C$4,Scenarios!$B$3:$D$3,0)),2)</x:f>
        <x:v>5.360850000000001</x:v>
      </x:c>
      <x:c r="F5" s="64" t="n">
        <x:f>$B5*POWER(1-INDEX(Scenarios!$B$9:$D$9,1,MATCH(Assumptions!$C$4,Scenarios!$B$3:$D$3,0)),3)</x:f>
        <x:v>5.0928075</x:v>
      </x:c>
      <x:c r="G5" s="64" t="n">
        <x:f>$B5*POWER(1-INDEX(Scenarios!$B$9:$D$9,1,MATCH(Assumptions!$C$4,Scenarios!$B$3:$D$3,0)),4)</x:f>
        <x:v>4.838167125000001</x:v>
      </x:c>
      <x:c r="H5" s="64" t="n">
        <x:f>$B5*POWER(1-INDEX(Scenarios!$B$9:$D$9,1,MATCH(Assumptions!$C$4,Scenarios!$B$3:$D$3,0)),5)</x:f>
        <x:v>4.596258768750001</x:v>
      </x:c>
      <x:c r="I5" s="64" t="n">
        <x:f>$B5*POWER(1-INDEX(Scenarios!$B$9:$D$9,1,MATCH(Assumptions!$C$4,Scenarios!$B$3:$D$3,0)),6)</x:f>
        <x:v>4.3664458303125</x:v>
      </x:c>
      <x:c r="J5" s="64" t="n">
        <x:f>$B5*POWER(1-INDEX(Scenarios!$B$9:$D$9,1,MATCH(Assumptions!$C$4,Scenarios!$B$3:$D$3,0)),7)</x:f>
        <x:v>4.148123538796876</x:v>
      </x:c>
      <x:c r="K5" s="64" t="n">
        <x:f>$B5*POWER(1-INDEX(Scenarios!$B$9:$D$9,1,MATCH(Assumptions!$C$4,Scenarios!$B$3:$D$3,0)),8)</x:f>
        <x:v>3.940717361857032</x:v>
      </x:c>
      <x:c r="L5" s="64" t="n">
        <x:f>$B5*POWER(1-INDEX(Scenarios!$B$9:$D$9,1,MATCH(Assumptions!$C$4,Scenarios!$B$3:$D$3,0)),9)</x:f>
        <x:v>3.7436814937641802</x:v>
      </x:c>
      <x:c r="M5" s="64" t="n">
        <x:f>$B5*POWER(1-INDEX(Scenarios!$B$9:$D$9,1,MATCH(Assumptions!$C$4,Scenarios!$B$3:$D$3,0)),10)</x:f>
        <x:v>3.5564974190759715</x:v>
      </x:c>
      <x:c r="N5" s="64" t="n">
        <x:f>$B5*POWER(1-INDEX(Scenarios!$B$9:$D$9,1,MATCH(Assumptions!$C$4,Scenarios!$B$3:$D$3,0)),11)</x:f>
        <x:v>3.3786725481221724</x:v>
      </x:c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>
      <x:c r="A6" s="52" t="n">
        <x:f>Funnel!B6</x:f>
        <x:v>46235</x:v>
      </x:c>
      <x:c r="B6" s="64" t="n">
        <x:f>Funnel!H6</x:f>
        <x:v>5.940000000000001</x:v>
      </x:c>
      <x:c r="C6" s="64" t="n">
        <x:f>$B6*POWER(1-INDEX(Scenarios!$B$9:$D$9,1,MATCH(Assumptions!$C$4,Scenarios!$B$3:$D$3,0)),0)</x:f>
        <x:v>5.940000000000001</x:v>
      </x:c>
      <x:c r="D6" s="64" t="n">
        <x:f>$B6*POWER(1-INDEX(Scenarios!$B$9:$D$9,1,MATCH(Assumptions!$C$4,Scenarios!$B$3:$D$3,0)),1)</x:f>
        <x:v>5.643000000000001</x:v>
      </x:c>
      <x:c r="E6" s="64" t="n">
        <x:f>$B6*POWER(1-INDEX(Scenarios!$B$9:$D$9,1,MATCH(Assumptions!$C$4,Scenarios!$B$3:$D$3,0)),2)</x:f>
        <x:v>5.360850000000001</x:v>
      </x:c>
      <x:c r="F6" s="64" t="n">
        <x:f>$B6*POWER(1-INDEX(Scenarios!$B$9:$D$9,1,MATCH(Assumptions!$C$4,Scenarios!$B$3:$D$3,0)),3)</x:f>
        <x:v>5.0928075</x:v>
      </x:c>
      <x:c r="G6" s="64" t="n">
        <x:f>$B6*POWER(1-INDEX(Scenarios!$B$9:$D$9,1,MATCH(Assumptions!$C$4,Scenarios!$B$3:$D$3,0)),4)</x:f>
        <x:v>4.838167125000001</x:v>
      </x:c>
      <x:c r="H6" s="64" t="n">
        <x:f>$B6*POWER(1-INDEX(Scenarios!$B$9:$D$9,1,MATCH(Assumptions!$C$4,Scenarios!$B$3:$D$3,0)),5)</x:f>
        <x:v>4.596258768750001</x:v>
      </x:c>
      <x:c r="I6" s="64" t="n">
        <x:f>$B6*POWER(1-INDEX(Scenarios!$B$9:$D$9,1,MATCH(Assumptions!$C$4,Scenarios!$B$3:$D$3,0)),6)</x:f>
        <x:v>4.3664458303125</x:v>
      </x:c>
      <x:c r="J6" s="64" t="n">
        <x:f>$B6*POWER(1-INDEX(Scenarios!$B$9:$D$9,1,MATCH(Assumptions!$C$4,Scenarios!$B$3:$D$3,0)),7)</x:f>
        <x:v>4.148123538796876</x:v>
      </x:c>
      <x:c r="K6" s="64" t="n">
        <x:f>$B6*POWER(1-INDEX(Scenarios!$B$9:$D$9,1,MATCH(Assumptions!$C$4,Scenarios!$B$3:$D$3,0)),8)</x:f>
        <x:v>3.940717361857032</x:v>
      </x:c>
      <x:c r="L6" s="64" t="n">
        <x:f>$B6*POWER(1-INDEX(Scenarios!$B$9:$D$9,1,MATCH(Assumptions!$C$4,Scenarios!$B$3:$D$3,0)),9)</x:f>
        <x:v>3.7436814937641802</x:v>
      </x:c>
      <x:c r="M6" s="64" t="n">
        <x:f>$B6*POWER(1-INDEX(Scenarios!$B$9:$D$9,1,MATCH(Assumptions!$C$4,Scenarios!$B$3:$D$3,0)),10)</x:f>
        <x:v>3.5564974190759715</x:v>
      </x:c>
      <x:c r="N6" s="64" t="n">
        <x:f>$B6*POWER(1-INDEX(Scenarios!$B$9:$D$9,1,MATCH(Assumptions!$C$4,Scenarios!$B$3:$D$3,0)),11)</x:f>
        <x:v>3.3786725481221724</x:v>
      </x:c>
      <x:c r="O6" s="26"/>
      <x:c r="P6" s="26"/>
      <x:c r="Q6" s="26"/>
      <x:c r="R6" s="26"/>
      <x:c r="S6" s="26"/>
      <x:c r="T6" s="26"/>
      <x:c r="U6" s="26"/>
      <x:c r="V6" s="26"/>
      <x:c r="W6" s="26"/>
      <x:c r="X6" s="26"/>
      <x:c r="Y6" s="26"/>
      <x:c r="Z6" s="26"/>
    </x:row>
    <x:row r="7">
      <x:c r="A7" s="52" t="n">
        <x:f>Funnel!B7</x:f>
        <x:v>46266</x:v>
      </x:c>
      <x:c r="B7" s="64" t="n">
        <x:f>Funnel!H7</x:f>
        <x:v>5.940000000000001</x:v>
      </x:c>
      <x:c r="C7" s="64" t="n">
        <x:f>$B7*POWER(1-INDEX(Scenarios!$B$9:$D$9,1,MATCH(Assumptions!$C$4,Scenarios!$B$3:$D$3,0)),0)</x:f>
        <x:v>5.940000000000001</x:v>
      </x:c>
      <x:c r="D7" s="64" t="n">
        <x:f>$B7*POWER(1-INDEX(Scenarios!$B$9:$D$9,1,MATCH(Assumptions!$C$4,Scenarios!$B$3:$D$3,0)),1)</x:f>
        <x:v>5.643000000000001</x:v>
      </x:c>
      <x:c r="E7" s="64" t="n">
        <x:f>$B7*POWER(1-INDEX(Scenarios!$B$9:$D$9,1,MATCH(Assumptions!$C$4,Scenarios!$B$3:$D$3,0)),2)</x:f>
        <x:v>5.360850000000001</x:v>
      </x:c>
      <x:c r="F7" s="64" t="n">
        <x:f>$B7*POWER(1-INDEX(Scenarios!$B$9:$D$9,1,MATCH(Assumptions!$C$4,Scenarios!$B$3:$D$3,0)),3)</x:f>
        <x:v>5.0928075</x:v>
      </x:c>
      <x:c r="G7" s="64" t="n">
        <x:f>$B7*POWER(1-INDEX(Scenarios!$B$9:$D$9,1,MATCH(Assumptions!$C$4,Scenarios!$B$3:$D$3,0)),4)</x:f>
        <x:v>4.838167125000001</x:v>
      </x:c>
      <x:c r="H7" s="64" t="n">
        <x:f>$B7*POWER(1-INDEX(Scenarios!$B$9:$D$9,1,MATCH(Assumptions!$C$4,Scenarios!$B$3:$D$3,0)),5)</x:f>
        <x:v>4.596258768750001</x:v>
      </x:c>
      <x:c r="I7" s="64" t="n">
        <x:f>$B7*POWER(1-INDEX(Scenarios!$B$9:$D$9,1,MATCH(Assumptions!$C$4,Scenarios!$B$3:$D$3,0)),6)</x:f>
        <x:v>4.3664458303125</x:v>
      </x:c>
      <x:c r="J7" s="64" t="n">
        <x:f>$B7*POWER(1-INDEX(Scenarios!$B$9:$D$9,1,MATCH(Assumptions!$C$4,Scenarios!$B$3:$D$3,0)),7)</x:f>
        <x:v>4.148123538796876</x:v>
      </x:c>
      <x:c r="K7" s="64" t="n">
        <x:f>$B7*POWER(1-INDEX(Scenarios!$B$9:$D$9,1,MATCH(Assumptions!$C$4,Scenarios!$B$3:$D$3,0)),8)</x:f>
        <x:v>3.940717361857032</x:v>
      </x:c>
      <x:c r="L7" s="64" t="n">
        <x:f>$B7*POWER(1-INDEX(Scenarios!$B$9:$D$9,1,MATCH(Assumptions!$C$4,Scenarios!$B$3:$D$3,0)),9)</x:f>
        <x:v>3.7436814937641802</x:v>
      </x:c>
      <x:c r="M7" s="64" t="n">
        <x:f>$B7*POWER(1-INDEX(Scenarios!$B$9:$D$9,1,MATCH(Assumptions!$C$4,Scenarios!$B$3:$D$3,0)),10)</x:f>
        <x:v>3.5564974190759715</x:v>
      </x:c>
      <x:c r="N7" s="64" t="n">
        <x:f>$B7*POWER(1-INDEX(Scenarios!$B$9:$D$9,1,MATCH(Assumptions!$C$4,Scenarios!$B$3:$D$3,0)),11)</x:f>
        <x:v>3.3786725481221724</x:v>
      </x:c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26"/>
      <x:c r="Z7" s="26"/>
    </x:row>
    <x:row r="8">
      <x:c r="A8" s="52" t="n">
        <x:f>Funnel!B8</x:f>
        <x:v>46296</x:v>
      </x:c>
      <x:c r="B8" s="64" t="n">
        <x:f>Funnel!H8</x:f>
        <x:v>5.940000000000001</x:v>
      </x:c>
      <x:c r="C8" s="64" t="n">
        <x:f>$B8*POWER(1-INDEX(Scenarios!$B$9:$D$9,1,MATCH(Assumptions!$C$4,Scenarios!$B$3:$D$3,0)),0)</x:f>
        <x:v>5.940000000000001</x:v>
      </x:c>
      <x:c r="D8" s="64" t="n">
        <x:f>$B8*POWER(1-INDEX(Scenarios!$B$9:$D$9,1,MATCH(Assumptions!$C$4,Scenarios!$B$3:$D$3,0)),1)</x:f>
        <x:v>5.643000000000001</x:v>
      </x:c>
      <x:c r="E8" s="64" t="n">
        <x:f>$B8*POWER(1-INDEX(Scenarios!$B$9:$D$9,1,MATCH(Assumptions!$C$4,Scenarios!$B$3:$D$3,0)),2)</x:f>
        <x:v>5.360850000000001</x:v>
      </x:c>
      <x:c r="F8" s="64" t="n">
        <x:f>$B8*POWER(1-INDEX(Scenarios!$B$9:$D$9,1,MATCH(Assumptions!$C$4,Scenarios!$B$3:$D$3,0)),3)</x:f>
        <x:v>5.0928075</x:v>
      </x:c>
      <x:c r="G8" s="64" t="n">
        <x:f>$B8*POWER(1-INDEX(Scenarios!$B$9:$D$9,1,MATCH(Assumptions!$C$4,Scenarios!$B$3:$D$3,0)),4)</x:f>
        <x:v>4.838167125000001</x:v>
      </x:c>
      <x:c r="H8" s="64" t="n">
        <x:f>$B8*POWER(1-INDEX(Scenarios!$B$9:$D$9,1,MATCH(Assumptions!$C$4,Scenarios!$B$3:$D$3,0)),5)</x:f>
        <x:v>4.596258768750001</x:v>
      </x:c>
      <x:c r="I8" s="64" t="n">
        <x:f>$B8*POWER(1-INDEX(Scenarios!$B$9:$D$9,1,MATCH(Assumptions!$C$4,Scenarios!$B$3:$D$3,0)),6)</x:f>
        <x:v>4.3664458303125</x:v>
      </x:c>
      <x:c r="J8" s="64" t="n">
        <x:f>$B8*POWER(1-INDEX(Scenarios!$B$9:$D$9,1,MATCH(Assumptions!$C$4,Scenarios!$B$3:$D$3,0)),7)</x:f>
        <x:v>4.148123538796876</x:v>
      </x:c>
      <x:c r="K8" s="64" t="n">
        <x:f>$B8*POWER(1-INDEX(Scenarios!$B$9:$D$9,1,MATCH(Assumptions!$C$4,Scenarios!$B$3:$D$3,0)),8)</x:f>
        <x:v>3.940717361857032</x:v>
      </x:c>
      <x:c r="L8" s="64" t="n">
        <x:f>$B8*POWER(1-INDEX(Scenarios!$B$9:$D$9,1,MATCH(Assumptions!$C$4,Scenarios!$B$3:$D$3,0)),9)</x:f>
        <x:v>3.7436814937641802</x:v>
      </x:c>
      <x:c r="M8" s="64" t="n">
        <x:f>$B8*POWER(1-INDEX(Scenarios!$B$9:$D$9,1,MATCH(Assumptions!$C$4,Scenarios!$B$3:$D$3,0)),10)</x:f>
        <x:v>3.5564974190759715</x:v>
      </x:c>
      <x:c r="N8" s="64" t="n">
        <x:f>$B8*POWER(1-INDEX(Scenarios!$B$9:$D$9,1,MATCH(Assumptions!$C$4,Scenarios!$B$3:$D$3,0)),11)</x:f>
        <x:v>3.3786725481221724</x:v>
      </x:c>
      <x:c r="O8" s="26"/>
      <x:c r="P8" s="26"/>
      <x:c r="Q8" s="26"/>
      <x:c r="R8" s="26"/>
      <x:c r="S8" s="26"/>
      <x:c r="T8" s="26"/>
      <x:c r="U8" s="26"/>
      <x:c r="V8" s="26"/>
      <x:c r="W8" s="26"/>
      <x:c r="X8" s="26"/>
      <x:c r="Y8" s="26"/>
      <x:c r="Z8" s="26"/>
    </x:row>
    <x:row r="9">
      <x:c r="A9" s="52" t="n">
        <x:f>Funnel!B9</x:f>
        <x:v>46327</x:v>
      </x:c>
      <x:c r="B9" s="64" t="n">
        <x:f>Funnel!H9</x:f>
        <x:v>5.940000000000001</x:v>
      </x:c>
      <x:c r="C9" s="64" t="n">
        <x:f>$B9*POWER(1-INDEX(Scenarios!$B$9:$D$9,1,MATCH(Assumptions!$C$4,Scenarios!$B$3:$D$3,0)),0)</x:f>
        <x:v>5.940000000000001</x:v>
      </x:c>
      <x:c r="D9" s="64" t="n">
        <x:f>$B9*POWER(1-INDEX(Scenarios!$B$9:$D$9,1,MATCH(Assumptions!$C$4,Scenarios!$B$3:$D$3,0)),1)</x:f>
        <x:v>5.643000000000001</x:v>
      </x:c>
      <x:c r="E9" s="64" t="n">
        <x:f>$B9*POWER(1-INDEX(Scenarios!$B$9:$D$9,1,MATCH(Assumptions!$C$4,Scenarios!$B$3:$D$3,0)),2)</x:f>
        <x:v>5.360850000000001</x:v>
      </x:c>
      <x:c r="F9" s="64" t="n">
        <x:f>$B9*POWER(1-INDEX(Scenarios!$B$9:$D$9,1,MATCH(Assumptions!$C$4,Scenarios!$B$3:$D$3,0)),3)</x:f>
        <x:v>5.0928075</x:v>
      </x:c>
      <x:c r="G9" s="64" t="n">
        <x:f>$B9*POWER(1-INDEX(Scenarios!$B$9:$D$9,1,MATCH(Assumptions!$C$4,Scenarios!$B$3:$D$3,0)),4)</x:f>
        <x:v>4.838167125000001</x:v>
      </x:c>
      <x:c r="H9" s="64" t="n">
        <x:f>$B9*POWER(1-INDEX(Scenarios!$B$9:$D$9,1,MATCH(Assumptions!$C$4,Scenarios!$B$3:$D$3,0)),5)</x:f>
        <x:v>4.596258768750001</x:v>
      </x:c>
      <x:c r="I9" s="64" t="n">
        <x:f>$B9*POWER(1-INDEX(Scenarios!$B$9:$D$9,1,MATCH(Assumptions!$C$4,Scenarios!$B$3:$D$3,0)),6)</x:f>
        <x:v>4.3664458303125</x:v>
      </x:c>
      <x:c r="J9" s="64" t="n">
        <x:f>$B9*POWER(1-INDEX(Scenarios!$B$9:$D$9,1,MATCH(Assumptions!$C$4,Scenarios!$B$3:$D$3,0)),7)</x:f>
        <x:v>4.148123538796876</x:v>
      </x:c>
      <x:c r="K9" s="64" t="n">
        <x:f>$B9*POWER(1-INDEX(Scenarios!$B$9:$D$9,1,MATCH(Assumptions!$C$4,Scenarios!$B$3:$D$3,0)),8)</x:f>
        <x:v>3.940717361857032</x:v>
      </x:c>
      <x:c r="L9" s="64" t="n">
        <x:f>$B9*POWER(1-INDEX(Scenarios!$B$9:$D$9,1,MATCH(Assumptions!$C$4,Scenarios!$B$3:$D$3,0)),9)</x:f>
        <x:v>3.7436814937641802</x:v>
      </x:c>
      <x:c r="M9" s="64" t="n">
        <x:f>$B9*POWER(1-INDEX(Scenarios!$B$9:$D$9,1,MATCH(Assumptions!$C$4,Scenarios!$B$3:$D$3,0)),10)</x:f>
        <x:v>3.5564974190759715</x:v>
      </x:c>
      <x:c r="N9" s="64" t="n">
        <x:f>$B9*POWER(1-INDEX(Scenarios!$B$9:$D$9,1,MATCH(Assumptions!$C$4,Scenarios!$B$3:$D$3,0)),11)</x:f>
        <x:v>3.3786725481221724</x:v>
      </x:c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26"/>
      <x:c r="Z9" s="26"/>
    </x:row>
    <x:row r="10">
      <x:c r="A10" s="52" t="n">
        <x:f>Funnel!B10</x:f>
        <x:v>46357</x:v>
      </x:c>
      <x:c r="B10" s="64" t="n">
        <x:f>Funnel!H10</x:f>
        <x:v>5.940000000000001</x:v>
      </x:c>
      <x:c r="C10" s="64" t="n">
        <x:f>$B10*POWER(1-INDEX(Scenarios!$B$9:$D$9,1,MATCH(Assumptions!$C$4,Scenarios!$B$3:$D$3,0)),0)</x:f>
        <x:v>5.940000000000001</x:v>
      </x:c>
      <x:c r="D10" s="64" t="n">
        <x:f>$B10*POWER(1-INDEX(Scenarios!$B$9:$D$9,1,MATCH(Assumptions!$C$4,Scenarios!$B$3:$D$3,0)),1)</x:f>
        <x:v>5.643000000000001</x:v>
      </x:c>
      <x:c r="E10" s="64" t="n">
        <x:f>$B10*POWER(1-INDEX(Scenarios!$B$9:$D$9,1,MATCH(Assumptions!$C$4,Scenarios!$B$3:$D$3,0)),2)</x:f>
        <x:v>5.360850000000001</x:v>
      </x:c>
      <x:c r="F10" s="64" t="n">
        <x:f>$B10*POWER(1-INDEX(Scenarios!$B$9:$D$9,1,MATCH(Assumptions!$C$4,Scenarios!$B$3:$D$3,0)),3)</x:f>
        <x:v>5.0928075</x:v>
      </x:c>
      <x:c r="G10" s="64" t="n">
        <x:f>$B10*POWER(1-INDEX(Scenarios!$B$9:$D$9,1,MATCH(Assumptions!$C$4,Scenarios!$B$3:$D$3,0)),4)</x:f>
        <x:v>4.838167125000001</x:v>
      </x:c>
      <x:c r="H10" s="64" t="n">
        <x:f>$B10*POWER(1-INDEX(Scenarios!$B$9:$D$9,1,MATCH(Assumptions!$C$4,Scenarios!$B$3:$D$3,0)),5)</x:f>
        <x:v>4.596258768750001</x:v>
      </x:c>
      <x:c r="I10" s="64" t="n">
        <x:f>$B10*POWER(1-INDEX(Scenarios!$B$9:$D$9,1,MATCH(Assumptions!$C$4,Scenarios!$B$3:$D$3,0)),6)</x:f>
        <x:v>4.3664458303125</x:v>
      </x:c>
      <x:c r="J10" s="64" t="n">
        <x:f>$B10*POWER(1-INDEX(Scenarios!$B$9:$D$9,1,MATCH(Assumptions!$C$4,Scenarios!$B$3:$D$3,0)),7)</x:f>
        <x:v>4.148123538796876</x:v>
      </x:c>
      <x:c r="K10" s="64" t="n">
        <x:f>$B10*POWER(1-INDEX(Scenarios!$B$9:$D$9,1,MATCH(Assumptions!$C$4,Scenarios!$B$3:$D$3,0)),8)</x:f>
        <x:v>3.940717361857032</x:v>
      </x:c>
      <x:c r="L10" s="64" t="n">
        <x:f>$B10*POWER(1-INDEX(Scenarios!$B$9:$D$9,1,MATCH(Assumptions!$C$4,Scenarios!$B$3:$D$3,0)),9)</x:f>
        <x:v>3.7436814937641802</x:v>
      </x:c>
      <x:c r="M10" s="64" t="n">
        <x:f>$B10*POWER(1-INDEX(Scenarios!$B$9:$D$9,1,MATCH(Assumptions!$C$4,Scenarios!$B$3:$D$3,0)),10)</x:f>
        <x:v>3.5564974190759715</x:v>
      </x:c>
      <x:c r="N10" s="64" t="n">
        <x:f>$B10*POWER(1-INDEX(Scenarios!$B$9:$D$9,1,MATCH(Assumptions!$C$4,Scenarios!$B$3:$D$3,0)),11)</x:f>
        <x:v>3.3786725481221724</x:v>
      </x:c>
      <x:c r="O10" s="26"/>
      <x:c r="P10" s="26"/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</x:row>
    <x:row r="11">
      <x:c r="A11" s="52" t="n">
        <x:f>Funnel!B11</x:f>
        <x:v>46388</x:v>
      </x:c>
      <x:c r="B11" s="64" t="n">
        <x:f>Funnel!H11</x:f>
        <x:v>5.940000000000001</x:v>
      </x:c>
      <x:c r="C11" s="64" t="n">
        <x:f>$B11*POWER(1-INDEX(Scenarios!$B$9:$D$9,1,MATCH(Assumptions!$C$4,Scenarios!$B$3:$D$3,0)),0)</x:f>
        <x:v>5.940000000000001</x:v>
      </x:c>
      <x:c r="D11" s="64" t="n">
        <x:f>$B11*POWER(1-INDEX(Scenarios!$B$9:$D$9,1,MATCH(Assumptions!$C$4,Scenarios!$B$3:$D$3,0)),1)</x:f>
        <x:v>5.643000000000001</x:v>
      </x:c>
      <x:c r="E11" s="64" t="n">
        <x:f>$B11*POWER(1-INDEX(Scenarios!$B$9:$D$9,1,MATCH(Assumptions!$C$4,Scenarios!$B$3:$D$3,0)),2)</x:f>
        <x:v>5.360850000000001</x:v>
      </x:c>
      <x:c r="F11" s="64" t="n">
        <x:f>$B11*POWER(1-INDEX(Scenarios!$B$9:$D$9,1,MATCH(Assumptions!$C$4,Scenarios!$B$3:$D$3,0)),3)</x:f>
        <x:v>5.0928075</x:v>
      </x:c>
      <x:c r="G11" s="64" t="n">
        <x:f>$B11*POWER(1-INDEX(Scenarios!$B$9:$D$9,1,MATCH(Assumptions!$C$4,Scenarios!$B$3:$D$3,0)),4)</x:f>
        <x:v>4.838167125000001</x:v>
      </x:c>
      <x:c r="H11" s="64" t="n">
        <x:f>$B11*POWER(1-INDEX(Scenarios!$B$9:$D$9,1,MATCH(Assumptions!$C$4,Scenarios!$B$3:$D$3,0)),5)</x:f>
        <x:v>4.596258768750001</x:v>
      </x:c>
      <x:c r="I11" s="64" t="n">
        <x:f>$B11*POWER(1-INDEX(Scenarios!$B$9:$D$9,1,MATCH(Assumptions!$C$4,Scenarios!$B$3:$D$3,0)),6)</x:f>
        <x:v>4.3664458303125</x:v>
      </x:c>
      <x:c r="J11" s="64" t="n">
        <x:f>$B11*POWER(1-INDEX(Scenarios!$B$9:$D$9,1,MATCH(Assumptions!$C$4,Scenarios!$B$3:$D$3,0)),7)</x:f>
        <x:v>4.148123538796876</x:v>
      </x:c>
      <x:c r="K11" s="64" t="n">
        <x:f>$B11*POWER(1-INDEX(Scenarios!$B$9:$D$9,1,MATCH(Assumptions!$C$4,Scenarios!$B$3:$D$3,0)),8)</x:f>
        <x:v>3.940717361857032</x:v>
      </x:c>
      <x:c r="L11" s="64" t="n">
        <x:f>$B11*POWER(1-INDEX(Scenarios!$B$9:$D$9,1,MATCH(Assumptions!$C$4,Scenarios!$B$3:$D$3,0)),9)</x:f>
        <x:v>3.7436814937641802</x:v>
      </x:c>
      <x:c r="M11" s="64" t="n">
        <x:f>$B11*POWER(1-INDEX(Scenarios!$B$9:$D$9,1,MATCH(Assumptions!$C$4,Scenarios!$B$3:$D$3,0)),10)</x:f>
        <x:v>3.5564974190759715</x:v>
      </x:c>
      <x:c r="N11" s="64" t="n">
        <x:f>$B11*POWER(1-INDEX(Scenarios!$B$9:$D$9,1,MATCH(Assumptions!$C$4,Scenarios!$B$3:$D$3,0)),11)</x:f>
        <x:v>3.3786725481221724</x:v>
      </x:c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</x:row>
    <x:row r="12">
      <x:c r="A12" s="52" t="n">
        <x:f>Funnel!B12</x:f>
        <x:v>46419</x:v>
      </x:c>
      <x:c r="B12" s="64" t="n">
        <x:f>Funnel!H12</x:f>
        <x:v>5.940000000000001</x:v>
      </x:c>
      <x:c r="C12" s="64" t="n">
        <x:f>$B12*POWER(1-INDEX(Scenarios!$B$9:$D$9,1,MATCH(Assumptions!$C$4,Scenarios!$B$3:$D$3,0)),0)</x:f>
        <x:v>5.940000000000001</x:v>
      </x:c>
      <x:c r="D12" s="64" t="n">
        <x:f>$B12*POWER(1-INDEX(Scenarios!$B$9:$D$9,1,MATCH(Assumptions!$C$4,Scenarios!$B$3:$D$3,0)),1)</x:f>
        <x:v>5.643000000000001</x:v>
      </x:c>
      <x:c r="E12" s="64" t="n">
        <x:f>$B12*POWER(1-INDEX(Scenarios!$B$9:$D$9,1,MATCH(Assumptions!$C$4,Scenarios!$B$3:$D$3,0)),2)</x:f>
        <x:v>5.360850000000001</x:v>
      </x:c>
      <x:c r="F12" s="64" t="n">
        <x:f>$B12*POWER(1-INDEX(Scenarios!$B$9:$D$9,1,MATCH(Assumptions!$C$4,Scenarios!$B$3:$D$3,0)),3)</x:f>
        <x:v>5.0928075</x:v>
      </x:c>
      <x:c r="G12" s="64" t="n">
        <x:f>$B12*POWER(1-INDEX(Scenarios!$B$9:$D$9,1,MATCH(Assumptions!$C$4,Scenarios!$B$3:$D$3,0)),4)</x:f>
        <x:v>4.838167125000001</x:v>
      </x:c>
      <x:c r="H12" s="64" t="n">
        <x:f>$B12*POWER(1-INDEX(Scenarios!$B$9:$D$9,1,MATCH(Assumptions!$C$4,Scenarios!$B$3:$D$3,0)),5)</x:f>
        <x:v>4.596258768750001</x:v>
      </x:c>
      <x:c r="I12" s="64" t="n">
        <x:f>$B12*POWER(1-INDEX(Scenarios!$B$9:$D$9,1,MATCH(Assumptions!$C$4,Scenarios!$B$3:$D$3,0)),6)</x:f>
        <x:v>4.3664458303125</x:v>
      </x:c>
      <x:c r="J12" s="64" t="n">
        <x:f>$B12*POWER(1-INDEX(Scenarios!$B$9:$D$9,1,MATCH(Assumptions!$C$4,Scenarios!$B$3:$D$3,0)),7)</x:f>
        <x:v>4.148123538796876</x:v>
      </x:c>
      <x:c r="K12" s="64" t="n">
        <x:f>$B12*POWER(1-INDEX(Scenarios!$B$9:$D$9,1,MATCH(Assumptions!$C$4,Scenarios!$B$3:$D$3,0)),8)</x:f>
        <x:v>3.940717361857032</x:v>
      </x:c>
      <x:c r="L12" s="64" t="n">
        <x:f>$B12*POWER(1-INDEX(Scenarios!$B$9:$D$9,1,MATCH(Assumptions!$C$4,Scenarios!$B$3:$D$3,0)),9)</x:f>
        <x:v>3.7436814937641802</x:v>
      </x:c>
      <x:c r="M12" s="64" t="n">
        <x:f>$B12*POWER(1-INDEX(Scenarios!$B$9:$D$9,1,MATCH(Assumptions!$C$4,Scenarios!$B$3:$D$3,0)),10)</x:f>
        <x:v>3.5564974190759715</x:v>
      </x:c>
      <x:c r="N12" s="64" t="n">
        <x:f>$B12*POWER(1-INDEX(Scenarios!$B$9:$D$9,1,MATCH(Assumptions!$C$4,Scenarios!$B$3:$D$3,0)),11)</x:f>
        <x:v>3.3786725481221724</x:v>
      </x:c>
      <x:c r="O12" s="26"/>
      <x:c r="P12" s="26"/>
      <x:c r="Q12" s="26"/>
      <x:c r="R12" s="26"/>
      <x:c r="S12" s="26"/>
      <x:c r="T12" s="26"/>
      <x:c r="U12" s="26"/>
      <x:c r="V12" s="26"/>
      <x:c r="W12" s="26"/>
      <x:c r="X12" s="26"/>
      <x:c r="Y12" s="26"/>
      <x:c r="Z12" s="26"/>
    </x:row>
    <x:row r="13">
      <x:c r="A13" s="52" t="n">
        <x:f>Funnel!B13</x:f>
        <x:v>46447</x:v>
      </x:c>
      <x:c r="B13" s="64" t="n">
        <x:f>Funnel!H13</x:f>
        <x:v>5.940000000000001</x:v>
      </x:c>
      <x:c r="C13" s="64" t="n">
        <x:f>$B13*POWER(1-INDEX(Scenarios!$B$9:$D$9,1,MATCH(Assumptions!$C$4,Scenarios!$B$3:$D$3,0)),0)</x:f>
        <x:v>5.940000000000001</x:v>
      </x:c>
      <x:c r="D13" s="64" t="n">
        <x:f>$B13*POWER(1-INDEX(Scenarios!$B$9:$D$9,1,MATCH(Assumptions!$C$4,Scenarios!$B$3:$D$3,0)),1)</x:f>
        <x:v>5.643000000000001</x:v>
      </x:c>
      <x:c r="E13" s="64" t="n">
        <x:f>$B13*POWER(1-INDEX(Scenarios!$B$9:$D$9,1,MATCH(Assumptions!$C$4,Scenarios!$B$3:$D$3,0)),2)</x:f>
        <x:v>5.360850000000001</x:v>
      </x:c>
      <x:c r="F13" s="64" t="n">
        <x:f>$B13*POWER(1-INDEX(Scenarios!$B$9:$D$9,1,MATCH(Assumptions!$C$4,Scenarios!$B$3:$D$3,0)),3)</x:f>
        <x:v>5.0928075</x:v>
      </x:c>
      <x:c r="G13" s="64" t="n">
        <x:f>$B13*POWER(1-INDEX(Scenarios!$B$9:$D$9,1,MATCH(Assumptions!$C$4,Scenarios!$B$3:$D$3,0)),4)</x:f>
        <x:v>4.838167125000001</x:v>
      </x:c>
      <x:c r="H13" s="64" t="n">
        <x:f>$B13*POWER(1-INDEX(Scenarios!$B$9:$D$9,1,MATCH(Assumptions!$C$4,Scenarios!$B$3:$D$3,0)),5)</x:f>
        <x:v>4.596258768750001</x:v>
      </x:c>
      <x:c r="I13" s="64" t="n">
        <x:f>$B13*POWER(1-INDEX(Scenarios!$B$9:$D$9,1,MATCH(Assumptions!$C$4,Scenarios!$B$3:$D$3,0)),6)</x:f>
        <x:v>4.3664458303125</x:v>
      </x:c>
      <x:c r="J13" s="64" t="n">
        <x:f>$B13*POWER(1-INDEX(Scenarios!$B$9:$D$9,1,MATCH(Assumptions!$C$4,Scenarios!$B$3:$D$3,0)),7)</x:f>
        <x:v>4.148123538796876</x:v>
      </x:c>
      <x:c r="K13" s="64" t="n">
        <x:f>$B13*POWER(1-INDEX(Scenarios!$B$9:$D$9,1,MATCH(Assumptions!$C$4,Scenarios!$B$3:$D$3,0)),8)</x:f>
        <x:v>3.940717361857032</x:v>
      </x:c>
      <x:c r="L13" s="64" t="n">
        <x:f>$B13*POWER(1-INDEX(Scenarios!$B$9:$D$9,1,MATCH(Assumptions!$C$4,Scenarios!$B$3:$D$3,0)),9)</x:f>
        <x:v>3.7436814937641802</x:v>
      </x:c>
      <x:c r="M13" s="64" t="n">
        <x:f>$B13*POWER(1-INDEX(Scenarios!$B$9:$D$9,1,MATCH(Assumptions!$C$4,Scenarios!$B$3:$D$3,0)),10)</x:f>
        <x:v>3.5564974190759715</x:v>
      </x:c>
      <x:c r="N13" s="64" t="n">
        <x:f>$B13*POWER(1-INDEX(Scenarios!$B$9:$D$9,1,MATCH(Assumptions!$C$4,Scenarios!$B$3:$D$3,0)),11)</x:f>
        <x:v>3.3786725481221724</x:v>
      </x:c>
      <x:c r="O13" s="26"/>
      <x:c r="P13" s="26"/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</x:row>
    <x:row r="14">
      <x:c r="A14" s="52" t="n">
        <x:f>Funnel!B14</x:f>
        <x:v>46478</x:v>
      </x:c>
      <x:c r="B14" s="64" t="n">
        <x:f>Funnel!H14</x:f>
        <x:v>5.940000000000001</x:v>
      </x:c>
      <x:c r="C14" s="64" t="n">
        <x:f>$B14*POWER(1-INDEX(Scenarios!$B$9:$D$9,1,MATCH(Assumptions!$C$4,Scenarios!$B$3:$D$3,0)),0)</x:f>
        <x:v>5.940000000000001</x:v>
      </x:c>
      <x:c r="D14" s="64" t="n">
        <x:f>$B14*POWER(1-INDEX(Scenarios!$B$9:$D$9,1,MATCH(Assumptions!$C$4,Scenarios!$B$3:$D$3,0)),1)</x:f>
        <x:v>5.643000000000001</x:v>
      </x:c>
      <x:c r="E14" s="64" t="n">
        <x:f>$B14*POWER(1-INDEX(Scenarios!$B$9:$D$9,1,MATCH(Assumptions!$C$4,Scenarios!$B$3:$D$3,0)),2)</x:f>
        <x:v>5.360850000000001</x:v>
      </x:c>
      <x:c r="F14" s="64" t="n">
        <x:f>$B14*POWER(1-INDEX(Scenarios!$B$9:$D$9,1,MATCH(Assumptions!$C$4,Scenarios!$B$3:$D$3,0)),3)</x:f>
        <x:v>5.0928075</x:v>
      </x:c>
      <x:c r="G14" s="64" t="n">
        <x:f>$B14*POWER(1-INDEX(Scenarios!$B$9:$D$9,1,MATCH(Assumptions!$C$4,Scenarios!$B$3:$D$3,0)),4)</x:f>
        <x:v>4.838167125000001</x:v>
      </x:c>
      <x:c r="H14" s="64" t="n">
        <x:f>$B14*POWER(1-INDEX(Scenarios!$B$9:$D$9,1,MATCH(Assumptions!$C$4,Scenarios!$B$3:$D$3,0)),5)</x:f>
        <x:v>4.596258768750001</x:v>
      </x:c>
      <x:c r="I14" s="64" t="n">
        <x:f>$B14*POWER(1-INDEX(Scenarios!$B$9:$D$9,1,MATCH(Assumptions!$C$4,Scenarios!$B$3:$D$3,0)),6)</x:f>
        <x:v>4.3664458303125</x:v>
      </x:c>
      <x:c r="J14" s="64" t="n">
        <x:f>$B14*POWER(1-INDEX(Scenarios!$B$9:$D$9,1,MATCH(Assumptions!$C$4,Scenarios!$B$3:$D$3,0)),7)</x:f>
        <x:v>4.148123538796876</x:v>
      </x:c>
      <x:c r="K14" s="64" t="n">
        <x:f>$B14*POWER(1-INDEX(Scenarios!$B$9:$D$9,1,MATCH(Assumptions!$C$4,Scenarios!$B$3:$D$3,0)),8)</x:f>
        <x:v>3.940717361857032</x:v>
      </x:c>
      <x:c r="L14" s="64" t="n">
        <x:f>$B14*POWER(1-INDEX(Scenarios!$B$9:$D$9,1,MATCH(Assumptions!$C$4,Scenarios!$B$3:$D$3,0)),9)</x:f>
        <x:v>3.7436814937641802</x:v>
      </x:c>
      <x:c r="M14" s="64" t="n">
        <x:f>$B14*POWER(1-INDEX(Scenarios!$B$9:$D$9,1,MATCH(Assumptions!$C$4,Scenarios!$B$3:$D$3,0)),10)</x:f>
        <x:v>3.5564974190759715</x:v>
      </x:c>
      <x:c r="N14" s="64" t="n">
        <x:f>$B14*POWER(1-INDEX(Scenarios!$B$9:$D$9,1,MATCH(Assumptions!$C$4,Scenarios!$B$3:$D$3,0)),11)</x:f>
        <x:v>3.3786725481221724</x:v>
      </x:c>
      <x:c r="O14" s="26"/>
      <x:c r="P14" s="26"/>
      <x:c r="Q14" s="26"/>
      <x:c r="R14" s="26"/>
      <x:c r="S14" s="26"/>
      <x:c r="T14" s="26"/>
      <x:c r="U14" s="26"/>
      <x:c r="V14" s="26"/>
      <x:c r="W14" s="26"/>
      <x:c r="X14" s="26"/>
      <x:c r="Y14" s="26"/>
      <x:c r="Z14" s="26"/>
    </x:row>
    <x:row r="15">
      <x:c r="A15" s="52" t="n">
        <x:f>Funnel!B15</x:f>
        <x:v>46508</x:v>
      </x:c>
      <x:c r="B15" s="64" t="n">
        <x:f>Funnel!H15</x:f>
        <x:v>5.940000000000001</x:v>
      </x:c>
      <x:c r="C15" s="64" t="n">
        <x:f>$B15*POWER(1-INDEX(Scenarios!$B$9:$D$9,1,MATCH(Assumptions!$C$4,Scenarios!$B$3:$D$3,0)),0)</x:f>
        <x:v>5.940000000000001</x:v>
      </x:c>
      <x:c r="D15" s="64" t="n">
        <x:f>$B15*POWER(1-INDEX(Scenarios!$B$9:$D$9,1,MATCH(Assumptions!$C$4,Scenarios!$B$3:$D$3,0)),1)</x:f>
        <x:v>5.643000000000001</x:v>
      </x:c>
      <x:c r="E15" s="64" t="n">
        <x:f>$B15*POWER(1-INDEX(Scenarios!$B$9:$D$9,1,MATCH(Assumptions!$C$4,Scenarios!$B$3:$D$3,0)),2)</x:f>
        <x:v>5.360850000000001</x:v>
      </x:c>
      <x:c r="F15" s="64" t="n">
        <x:f>$B15*POWER(1-INDEX(Scenarios!$B$9:$D$9,1,MATCH(Assumptions!$C$4,Scenarios!$B$3:$D$3,0)),3)</x:f>
        <x:v>5.0928075</x:v>
      </x:c>
      <x:c r="G15" s="64" t="n">
        <x:f>$B15*POWER(1-INDEX(Scenarios!$B$9:$D$9,1,MATCH(Assumptions!$C$4,Scenarios!$B$3:$D$3,0)),4)</x:f>
        <x:v>4.838167125000001</x:v>
      </x:c>
      <x:c r="H15" s="64" t="n">
        <x:f>$B15*POWER(1-INDEX(Scenarios!$B$9:$D$9,1,MATCH(Assumptions!$C$4,Scenarios!$B$3:$D$3,0)),5)</x:f>
        <x:v>4.596258768750001</x:v>
      </x:c>
      <x:c r="I15" s="64" t="n">
        <x:f>$B15*POWER(1-INDEX(Scenarios!$B$9:$D$9,1,MATCH(Assumptions!$C$4,Scenarios!$B$3:$D$3,0)),6)</x:f>
        <x:v>4.3664458303125</x:v>
      </x:c>
      <x:c r="J15" s="64" t="n">
        <x:f>$B15*POWER(1-INDEX(Scenarios!$B$9:$D$9,1,MATCH(Assumptions!$C$4,Scenarios!$B$3:$D$3,0)),7)</x:f>
        <x:v>4.148123538796876</x:v>
      </x:c>
      <x:c r="K15" s="64" t="n">
        <x:f>$B15*POWER(1-INDEX(Scenarios!$B$9:$D$9,1,MATCH(Assumptions!$C$4,Scenarios!$B$3:$D$3,0)),8)</x:f>
        <x:v>3.940717361857032</x:v>
      </x:c>
      <x:c r="L15" s="64" t="n">
        <x:f>$B15*POWER(1-INDEX(Scenarios!$B$9:$D$9,1,MATCH(Assumptions!$C$4,Scenarios!$B$3:$D$3,0)),9)</x:f>
        <x:v>3.7436814937641802</x:v>
      </x:c>
      <x:c r="M15" s="64" t="n">
        <x:f>$B15*POWER(1-INDEX(Scenarios!$B$9:$D$9,1,MATCH(Assumptions!$C$4,Scenarios!$B$3:$D$3,0)),10)</x:f>
        <x:v>3.5564974190759715</x:v>
      </x:c>
      <x:c r="N15" s="64" t="n">
        <x:f>$B15*POWER(1-INDEX(Scenarios!$B$9:$D$9,1,MATCH(Assumptions!$C$4,Scenarios!$B$3:$D$3,0)),11)</x:f>
        <x:v>3.3786725481221724</x:v>
      </x:c>
      <x:c r="O15" s="26"/>
      <x:c r="P15" s="26"/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</x:row>
    <x:row r="16">
      <x:c r="A16" s="26"/>
      <x:c r="B16" s="26"/>
      <x:c r="C16" s="26"/>
      <x:c r="D16" s="26"/>
      <x:c r="E16" s="26"/>
      <x:c r="F16" s="26"/>
      <x:c r="G16" s="26"/>
      <x:c r="H16" s="26"/>
      <x:c r="I16" s="26"/>
      <x:c r="J16" s="26"/>
      <x:c r="K16" s="26"/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</x:row>
    <x:row r="17">
      <x:c r="A17" s="26"/>
      <x:c r="B17" s="26"/>
      <x:c r="C17" s="26"/>
      <x:c r="D17" s="26"/>
      <x:c r="E17" s="26"/>
      <x:c r="F17" s="26"/>
      <x:c r="G17" s="26"/>
      <x:c r="H17" s="26"/>
      <x:c r="I17" s="26"/>
      <x:c r="J17" s="26"/>
      <x:c r="K17" s="26"/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</x:row>
    <x:row r="18">
      <x:c r="A18" s="26"/>
      <x:c r="B18" s="26"/>
      <x:c r="C18" s="26"/>
      <x:c r="D18" s="26"/>
      <x:c r="E18" s="26"/>
      <x:c r="F18" s="26"/>
      <x:c r="G18" s="26"/>
      <x:c r="H18" s="26"/>
      <x:c r="I18" s="26"/>
      <x:c r="J18" s="26"/>
      <x:c r="K18" s="26"/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</x:row>
    <x:row r="19">
      <x:c r="A19" s="26"/>
      <x:c r="B19" s="26"/>
      <x:c r="C19" s="26"/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>
      <x:c r="A20" s="26"/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>
      <x:c r="A21" s="26"/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>
      <x:c r="A22" s="26"/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>
      <x:c r="A23" s="26"/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>
      <x:c r="A24" s="26"/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>
      <x:c r="A25" s="26"/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>
      <x:c r="A26" s="26"/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>
      <x:c r="A27" s="26"/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>
      <x:c r="A28" s="26"/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>
      <x:c r="A29" s="26"/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>
      <x:c r="A30" s="26"/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>
      <x:c r="A31" s="26"/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>
      <x:c r="A32" s="26"/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>
      <x:c r="A33" s="26"/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</x:row>
    <x:row r="34">
      <x:c r="A34" s="26"/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</x:row>
    <x:row r="35">
      <x:c r="A35" s="26"/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</x:row>
    <x:row r="36">
      <x:c r="A36" s="26"/>
      <x:c r="B36" s="26"/>
      <x:c r="C36" s="26"/>
      <x:c r="D36" s="26"/>
      <x:c r="E36" s="26"/>
      <x:c r="F36" s="26"/>
      <x:c r="G36" s="26"/>
      <x:c r="H36" s="26"/>
      <x:c r="I36" s="26"/>
      <x:c r="J36" s="26"/>
      <x:c r="K36" s="26"/>
      <x:c r="L36" s="26"/>
      <x:c r="M36" s="26"/>
      <x:c r="N36" s="26"/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</x:row>
    <x:row r="37">
      <x:c r="A37" s="26"/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  <x:c r="L37" s="26"/>
      <x:c r="M37" s="26"/>
      <x:c r="N37" s="26"/>
      <x:c r="O37" s="26"/>
      <x:c r="P37" s="26"/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</x:row>
    <x:row r="38">
      <x:c r="A38" s="26"/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</x:row>
    <x:row r="39">
      <x:c r="A39" s="26"/>
      <x:c r="B39" s="26"/>
      <x:c r="C39" s="26"/>
      <x:c r="D39" s="26"/>
      <x:c r="E39" s="26"/>
      <x:c r="F39" s="26"/>
      <x:c r="G39" s="26"/>
      <x:c r="H39" s="26"/>
      <x:c r="I39" s="26"/>
      <x:c r="J39" s="26"/>
      <x:c r="K39" s="26"/>
      <x:c r="L39" s="26"/>
      <x:c r="M39" s="26"/>
      <x:c r="N39" s="26"/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</x:row>
    <x:row r="40">
      <x:c r="A40" s="26"/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  <x:c r="L40" s="26"/>
      <x:c r="M40" s="26"/>
      <x:c r="N40" s="26"/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</x:row>
    <x:row r="41">
      <x:c r="A41" s="26"/>
      <x:c r="B41" s="26"/>
      <x:c r="C41" s="26"/>
      <x:c r="D41" s="26"/>
      <x:c r="E41" s="26"/>
      <x:c r="F41" s="26"/>
      <x:c r="G41" s="26"/>
      <x:c r="H41" s="26"/>
      <x:c r="I41" s="26"/>
      <x:c r="J41" s="26"/>
      <x:c r="K41" s="26"/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</x:row>
    <x:row r="42">
      <x:c r="A42" s="26"/>
      <x:c r="B42" s="26"/>
      <x:c r="C42" s="26"/>
      <x:c r="D42" s="26"/>
      <x:c r="E42" s="26"/>
      <x:c r="F42" s="26"/>
      <x:c r="G42" s="26"/>
      <x:c r="H42" s="26"/>
      <x:c r="I42" s="26"/>
      <x:c r="J42" s="26"/>
      <x:c r="K42" s="26"/>
      <x:c r="L42" s="26"/>
      <x:c r="M42" s="26"/>
      <x:c r="N42" s="26"/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</x:row>
    <x:row r="43">
      <x:c r="A43" s="26"/>
      <x:c r="B43" s="26"/>
      <x:c r="C43" s="26"/>
      <x:c r="D43" s="26"/>
      <x:c r="E43" s="26"/>
      <x:c r="F43" s="26"/>
      <x:c r="G43" s="26"/>
      <x:c r="H43" s="26"/>
      <x:c r="I43" s="26"/>
      <x:c r="J43" s="26"/>
      <x:c r="K43" s="26"/>
      <x:c r="L43" s="26"/>
      <x:c r="M43" s="26"/>
      <x:c r="N43" s="26"/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</x:row>
    <x:row r="44">
      <x:c r="A44" s="26"/>
      <x:c r="B44" s="26"/>
      <x:c r="C44" s="26"/>
      <x:c r="D44" s="26"/>
      <x:c r="E44" s="26"/>
      <x:c r="F44" s="26"/>
      <x:c r="G44" s="26"/>
      <x:c r="H44" s="26"/>
      <x:c r="I44" s="26"/>
      <x:c r="J44" s="26"/>
      <x:c r="K44" s="26"/>
      <x:c r="L44" s="26"/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</x:row>
    <x:row r="45">
      <x:c r="A45" s="26"/>
      <x:c r="B45" s="26"/>
      <x:c r="C45" s="26"/>
      <x:c r="D45" s="26"/>
      <x:c r="E45" s="26"/>
      <x:c r="F45" s="26"/>
      <x:c r="G45" s="26"/>
      <x:c r="H45" s="26"/>
      <x:c r="I45" s="26"/>
      <x:c r="J45" s="26"/>
      <x:c r="K45" s="26"/>
      <x:c r="L45" s="26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</x:row>
    <x:row r="46">
      <x:c r="A46" s="26"/>
      <x:c r="B46" s="26"/>
      <x:c r="C46" s="26"/>
      <x:c r="D46" s="26"/>
      <x:c r="E46" s="26"/>
      <x:c r="F46" s="26"/>
      <x:c r="G46" s="26"/>
      <x:c r="H46" s="26"/>
      <x:c r="I46" s="26"/>
      <x:c r="J46" s="26"/>
      <x:c r="K46" s="26"/>
      <x:c r="L46" s="26"/>
      <x:c r="M46" s="26"/>
      <x:c r="N46" s="26"/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</x:row>
    <x:row r="47">
      <x:c r="A47" s="26"/>
      <x:c r="B47" s="26"/>
      <x:c r="C47" s="26"/>
      <x:c r="D47" s="26"/>
      <x:c r="E47" s="26"/>
      <x:c r="F47" s="26"/>
      <x:c r="G47" s="26"/>
      <x:c r="H47" s="26"/>
      <x:c r="I47" s="26"/>
      <x:c r="J47" s="26"/>
      <x:c r="K47" s="26"/>
      <x:c r="L47" s="26"/>
      <x:c r="M47" s="26"/>
      <x:c r="N47" s="26"/>
      <x:c r="O47" s="26"/>
      <x:c r="P47" s="26"/>
      <x:c r="Q47" s="26"/>
      <x:c r="R47" s="26"/>
      <x:c r="S47" s="26"/>
      <x:c r="T47" s="26"/>
      <x:c r="U47" s="26"/>
      <x:c r="V47" s="26"/>
      <x:c r="W47" s="26"/>
      <x:c r="X47" s="26"/>
      <x:c r="Y47" s="26"/>
      <x:c r="Z47" s="26"/>
    </x:row>
    <x:row r="48">
      <x:c r="A48" s="26"/>
      <x:c r="B48" s="26"/>
      <x:c r="C48" s="26"/>
      <x:c r="D48" s="26"/>
      <x:c r="E48" s="26"/>
      <x:c r="F48" s="26"/>
      <x:c r="G48" s="26"/>
      <x:c r="H48" s="26"/>
      <x:c r="I48" s="26"/>
      <x:c r="J48" s="26"/>
      <x:c r="K48" s="26"/>
      <x:c r="L48" s="26"/>
      <x:c r="M48" s="26"/>
      <x:c r="N48" s="26"/>
      <x:c r="O48" s="26"/>
      <x:c r="P48" s="26"/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</x:row>
    <x:row r="49">
      <x:c r="A49" s="26"/>
      <x:c r="B49" s="26"/>
      <x:c r="C49" s="26"/>
      <x:c r="D49" s="26"/>
      <x:c r="E49" s="26"/>
      <x:c r="F49" s="26"/>
      <x:c r="G49" s="26"/>
      <x:c r="H49" s="26"/>
      <x:c r="I49" s="26"/>
      <x:c r="J49" s="26"/>
      <x:c r="K49" s="26"/>
      <x:c r="L49" s="26"/>
      <x:c r="M49" s="26"/>
      <x:c r="N49" s="26"/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</x:row>
    <x:row r="50">
      <x:c r="A50" s="26"/>
      <x:c r="B50" s="26"/>
      <x:c r="C50" s="26"/>
      <x:c r="D50" s="26"/>
      <x:c r="E50" s="26"/>
      <x:c r="F50" s="26"/>
      <x:c r="G50" s="26"/>
      <x:c r="H50" s="26"/>
      <x:c r="I50" s="26"/>
      <x:c r="J50" s="26"/>
      <x:c r="K50" s="26"/>
      <x:c r="L50" s="26"/>
      <x:c r="M50" s="26"/>
      <x:c r="N50" s="26"/>
      <x:c r="O50" s="26"/>
      <x:c r="P50" s="26"/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</x:row>
    <x:row r="51">
      <x:c r="A51" s="26"/>
      <x:c r="B51" s="26"/>
      <x:c r="C51" s="26"/>
      <x:c r="D51" s="26"/>
      <x:c r="E51" s="26"/>
      <x:c r="F51" s="26"/>
      <x:c r="G51" s="26"/>
      <x:c r="H51" s="26"/>
      <x:c r="I51" s="26"/>
      <x:c r="J51" s="26"/>
      <x:c r="K51" s="26"/>
      <x:c r="L51" s="26"/>
      <x:c r="M51" s="26"/>
      <x:c r="N51" s="26"/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</x:row>
    <x:row r="52">
      <x:c r="A52" s="26"/>
      <x:c r="B52" s="26"/>
      <x:c r="C52" s="26"/>
      <x:c r="D52" s="26"/>
      <x:c r="E52" s="26"/>
      <x:c r="F52" s="26"/>
      <x:c r="G52" s="26"/>
      <x:c r="H52" s="26"/>
      <x:c r="I52" s="26"/>
      <x:c r="J52" s="26"/>
      <x:c r="K52" s="26"/>
      <x:c r="L52" s="26"/>
      <x:c r="M52" s="26"/>
      <x:c r="N52" s="26"/>
      <x:c r="O52" s="26"/>
      <x:c r="P52" s="26"/>
      <x:c r="Q52" s="26"/>
      <x:c r="R52" s="26"/>
      <x:c r="S52" s="26"/>
      <x:c r="T52" s="26"/>
      <x:c r="U52" s="26"/>
      <x:c r="V52" s="26"/>
      <x:c r="W52" s="26"/>
      <x:c r="X52" s="26"/>
      <x:c r="Y52" s="26"/>
      <x:c r="Z52" s="26"/>
    </x:row>
    <x:row r="53">
      <x:c r="A53" s="26"/>
      <x:c r="B53" s="26"/>
      <x:c r="C53" s="26"/>
      <x:c r="D53" s="26"/>
      <x:c r="E53" s="26"/>
      <x:c r="F53" s="26"/>
      <x:c r="G53" s="26"/>
      <x:c r="H53" s="26"/>
      <x:c r="I53" s="26"/>
      <x:c r="J53" s="26"/>
      <x:c r="K53" s="26"/>
      <x:c r="L53" s="26"/>
      <x:c r="M53" s="26"/>
      <x:c r="N53" s="26"/>
      <x:c r="O53" s="26"/>
      <x:c r="P53" s="26"/>
      <x:c r="Q53" s="26"/>
      <x:c r="R53" s="26"/>
      <x:c r="S53" s="26"/>
      <x:c r="T53" s="26"/>
      <x:c r="U53" s="26"/>
      <x:c r="V53" s="26"/>
      <x:c r="W53" s="26"/>
      <x:c r="X53" s="26"/>
      <x:c r="Y53" s="26"/>
      <x:c r="Z53" s="26"/>
    </x:row>
    <x:row r="54">
      <x:c r="A54" s="26"/>
      <x:c r="B54" s="26"/>
      <x:c r="C54" s="26"/>
      <x:c r="D54" s="26"/>
      <x:c r="E54" s="26"/>
      <x:c r="F54" s="26"/>
      <x:c r="G54" s="26"/>
      <x:c r="H54" s="26"/>
      <x:c r="I54" s="26"/>
      <x:c r="J54" s="26"/>
      <x:c r="K54" s="26"/>
      <x:c r="L54" s="26"/>
      <x:c r="M54" s="26"/>
      <x:c r="N54" s="26"/>
      <x:c r="O54" s="26"/>
      <x:c r="P54" s="26"/>
      <x:c r="Q54" s="26"/>
      <x:c r="R54" s="26"/>
      <x:c r="S54" s="26"/>
      <x:c r="T54" s="26"/>
      <x:c r="U54" s="26"/>
      <x:c r="V54" s="26"/>
      <x:c r="W54" s="26"/>
      <x:c r="X54" s="26"/>
      <x:c r="Y54" s="26"/>
      <x:c r="Z54" s="26"/>
    </x:row>
    <x:row r="55">
      <x:c r="A55" s="26"/>
      <x:c r="B55" s="26"/>
      <x:c r="C55" s="26"/>
      <x:c r="D55" s="26"/>
      <x:c r="E55" s="26"/>
      <x:c r="F55" s="26"/>
      <x:c r="G55" s="26"/>
      <x:c r="H55" s="26"/>
      <x:c r="I55" s="26"/>
      <x:c r="J55" s="26"/>
      <x:c r="K55" s="26"/>
      <x:c r="L55" s="26"/>
      <x:c r="M55" s="26"/>
      <x:c r="N55" s="26"/>
      <x:c r="O55" s="26"/>
      <x:c r="P55" s="26"/>
      <x:c r="Q55" s="26"/>
      <x:c r="R55" s="26"/>
      <x:c r="S55" s="26"/>
      <x:c r="T55" s="26"/>
      <x:c r="U55" s="26"/>
      <x:c r="V55" s="26"/>
      <x:c r="W55" s="26"/>
      <x:c r="X55" s="26"/>
      <x:c r="Y55" s="26"/>
      <x:c r="Z55" s="26"/>
    </x:row>
    <x:row r="56">
      <x:c r="A56" s="26"/>
      <x:c r="B56" s="26"/>
      <x:c r="C56" s="26"/>
      <x:c r="D56" s="26"/>
      <x:c r="E56" s="26"/>
      <x:c r="F56" s="26"/>
      <x:c r="G56" s="26"/>
      <x:c r="H56" s="26"/>
      <x:c r="I56" s="26"/>
      <x:c r="J56" s="26"/>
      <x:c r="K56" s="26"/>
      <x:c r="L56" s="26"/>
      <x:c r="M56" s="26"/>
      <x:c r="N56" s="26"/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</x:row>
    <x:row r="57">
      <x:c r="A57" s="26"/>
      <x:c r="B57" s="26"/>
      <x:c r="C57" s="26"/>
      <x:c r="D57" s="26"/>
      <x:c r="E57" s="26"/>
      <x:c r="F57" s="26"/>
      <x:c r="G57" s="26"/>
      <x:c r="H57" s="26"/>
      <x:c r="I57" s="26"/>
      <x:c r="J57" s="26"/>
      <x:c r="K57" s="26"/>
      <x:c r="L57" s="26"/>
      <x:c r="M57" s="26"/>
      <x:c r="N57" s="26"/>
      <x:c r="O57" s="26"/>
      <x:c r="P57" s="26"/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</x:row>
    <x:row r="58">
      <x:c r="A58" s="26"/>
      <x:c r="B58" s="26"/>
      <x:c r="C58" s="26"/>
      <x:c r="D58" s="26"/>
      <x:c r="E58" s="26"/>
      <x:c r="F58" s="26"/>
      <x:c r="G58" s="26"/>
      <x:c r="H58" s="26"/>
      <x:c r="I58" s="26"/>
      <x:c r="J58" s="26"/>
      <x:c r="K58" s="26"/>
      <x:c r="L58" s="26"/>
      <x:c r="M58" s="26"/>
      <x:c r="N58" s="26"/>
      <x:c r="O58" s="26"/>
      <x:c r="P58" s="26"/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</x:row>
    <x:row r="59">
      <x:c r="A59" s="26"/>
      <x:c r="B59" s="26"/>
      <x:c r="C59" s="26"/>
      <x:c r="D59" s="26"/>
      <x:c r="E59" s="26"/>
      <x:c r="F59" s="26"/>
      <x:c r="G59" s="26"/>
      <x:c r="H59" s="26"/>
      <x:c r="I59" s="26"/>
      <x:c r="J59" s="26"/>
      <x:c r="K59" s="26"/>
      <x:c r="L59" s="26"/>
      <x:c r="M59" s="26"/>
      <x:c r="N59" s="26"/>
      <x:c r="O59" s="26"/>
      <x:c r="P59" s="26"/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</x:row>
    <x:row r="60">
      <x:c r="A60" s="26"/>
      <x:c r="B60" s="26"/>
      <x:c r="C60" s="26"/>
      <x:c r="D60" s="26"/>
      <x:c r="E60" s="26"/>
      <x:c r="F60" s="26"/>
      <x:c r="G60" s="26"/>
      <x:c r="H60" s="26"/>
      <x:c r="I60" s="26"/>
      <x:c r="J60" s="26"/>
      <x:c r="K60" s="26"/>
      <x:c r="L60" s="26"/>
      <x:c r="M60" s="26"/>
      <x:c r="N60" s="26"/>
      <x:c r="O60" s="26"/>
      <x:c r="P60" s="26"/>
      <x:c r="Q60" s="26"/>
      <x:c r="R60" s="26"/>
      <x:c r="S60" s="26"/>
      <x:c r="T60" s="26"/>
      <x:c r="U60" s="26"/>
      <x:c r="V60" s="26"/>
      <x:c r="W60" s="26"/>
      <x:c r="X60" s="26"/>
      <x:c r="Y60" s="26"/>
      <x:c r="Z60" s="26"/>
    </x:row>
    <x:row r="61">
      <x:c r="A61" s="26"/>
      <x:c r="B61" s="26"/>
      <x:c r="C61" s="26"/>
      <x:c r="D61" s="26"/>
      <x:c r="E61" s="26"/>
      <x:c r="F61" s="26"/>
      <x:c r="G61" s="26"/>
      <x:c r="H61" s="26"/>
      <x:c r="I61" s="26"/>
      <x:c r="J61" s="26"/>
      <x:c r="K61" s="26"/>
      <x:c r="L61" s="26"/>
      <x:c r="M61" s="26"/>
      <x:c r="N61" s="26"/>
      <x:c r="O61" s="26"/>
      <x:c r="P61" s="26"/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</x:row>
    <x:row r="62">
      <x:c r="A62" s="26"/>
      <x:c r="B62" s="26"/>
      <x:c r="C62" s="26"/>
      <x:c r="D62" s="26"/>
      <x:c r="E62" s="26"/>
      <x:c r="F62" s="26"/>
      <x:c r="G62" s="26"/>
      <x:c r="H62" s="26"/>
      <x:c r="I62" s="26"/>
      <x:c r="J62" s="26"/>
      <x:c r="K62" s="26"/>
      <x:c r="L62" s="26"/>
      <x:c r="M62" s="26"/>
      <x:c r="N62" s="26"/>
      <x:c r="O62" s="26"/>
      <x:c r="P62" s="26"/>
      <x:c r="Q62" s="26"/>
      <x:c r="R62" s="26"/>
      <x:c r="S62" s="26"/>
      <x:c r="T62" s="26"/>
      <x:c r="U62" s="26"/>
      <x:c r="V62" s="26"/>
      <x:c r="W62" s="26"/>
      <x:c r="X62" s="26"/>
      <x:c r="Y62" s="26"/>
      <x:c r="Z62" s="26"/>
    </x:row>
    <x:row r="63">
      <x:c r="A63" s="26"/>
      <x:c r="B63" s="26"/>
      <x:c r="C63" s="26"/>
      <x:c r="D63" s="26"/>
      <x:c r="E63" s="26"/>
      <x:c r="F63" s="26"/>
      <x:c r="G63" s="26"/>
      <x:c r="H63" s="26"/>
      <x:c r="I63" s="26"/>
      <x:c r="J63" s="26"/>
      <x:c r="K63" s="26"/>
      <x:c r="L63" s="26"/>
      <x:c r="M63" s="26"/>
      <x:c r="N63" s="26"/>
      <x:c r="O63" s="26"/>
      <x:c r="P63" s="26"/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</x:row>
    <x:row r="64">
      <x:c r="A64" s="26"/>
      <x:c r="B64" s="26"/>
      <x:c r="C64" s="26"/>
      <x:c r="D64" s="26"/>
      <x:c r="E64" s="26"/>
      <x:c r="F64" s="26"/>
      <x:c r="G64" s="26"/>
      <x:c r="H64" s="26"/>
      <x:c r="I64" s="26"/>
      <x:c r="J64" s="26"/>
      <x:c r="K64" s="26"/>
      <x:c r="L64" s="26"/>
      <x:c r="M64" s="26"/>
      <x:c r="N64" s="26"/>
      <x:c r="O64" s="26"/>
      <x:c r="P64" s="26"/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</x:row>
    <x:row r="65">
      <x:c r="A65" s="26"/>
      <x:c r="B65" s="26"/>
      <x:c r="C65" s="26"/>
      <x:c r="D65" s="26"/>
      <x:c r="E65" s="26"/>
      <x:c r="F65" s="26"/>
      <x:c r="G65" s="26"/>
      <x:c r="H65" s="26"/>
      <x:c r="I65" s="26"/>
      <x:c r="J65" s="26"/>
      <x:c r="K65" s="26"/>
      <x:c r="L65" s="26"/>
      <x:c r="M65" s="26"/>
      <x:c r="N65" s="26"/>
      <x:c r="O65" s="26"/>
      <x:c r="P65" s="26"/>
      <x:c r="Q65" s="26"/>
      <x:c r="R65" s="26"/>
      <x:c r="S65" s="26"/>
      <x:c r="T65" s="26"/>
      <x:c r="U65" s="26"/>
      <x:c r="V65" s="26"/>
      <x:c r="W65" s="26"/>
      <x:c r="X65" s="26"/>
      <x:c r="Y65" s="26"/>
      <x:c r="Z65" s="26"/>
    </x:row>
    <x:row r="66">
      <x:c r="A66" s="26"/>
      <x:c r="B66" s="26"/>
      <x:c r="C66" s="26"/>
      <x:c r="D66" s="26"/>
      <x:c r="E66" s="26"/>
      <x:c r="F66" s="26"/>
      <x:c r="G66" s="26"/>
      <x:c r="H66" s="26"/>
      <x:c r="I66" s="26"/>
      <x:c r="J66" s="26"/>
      <x:c r="K66" s="26"/>
      <x:c r="L66" s="26"/>
      <x:c r="M66" s="26"/>
      <x:c r="N66" s="26"/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</x:row>
    <x:row r="67">
      <x:c r="A67" s="26"/>
      <x:c r="B67" s="26"/>
      <x:c r="C67" s="26"/>
      <x:c r="D67" s="26"/>
      <x:c r="E67" s="26"/>
      <x:c r="F67" s="26"/>
      <x:c r="G67" s="26"/>
      <x:c r="H67" s="26"/>
      <x:c r="I67" s="26"/>
      <x:c r="J67" s="26"/>
      <x:c r="K67" s="26"/>
      <x:c r="L67" s="26"/>
      <x:c r="M67" s="26"/>
      <x:c r="N67" s="26"/>
      <x:c r="O67" s="26"/>
      <x:c r="P67" s="26"/>
      <x:c r="Q67" s="26"/>
      <x:c r="R67" s="26"/>
      <x:c r="S67" s="26"/>
      <x:c r="T67" s="26"/>
      <x:c r="U67" s="26"/>
      <x:c r="V67" s="26"/>
      <x:c r="W67" s="26"/>
      <x:c r="X67" s="26"/>
      <x:c r="Y67" s="26"/>
      <x:c r="Z67" s="26"/>
    </x:row>
    <x:row r="68">
      <x:c r="A68" s="26"/>
      <x:c r="B68" s="26"/>
      <x:c r="C68" s="26"/>
      <x:c r="D68" s="26"/>
      <x:c r="E68" s="26"/>
      <x:c r="F68" s="26"/>
      <x:c r="G68" s="26"/>
      <x:c r="H68" s="26"/>
      <x:c r="I68" s="26"/>
      <x:c r="J68" s="26"/>
      <x:c r="K68" s="26"/>
      <x:c r="L68" s="26"/>
      <x:c r="M68" s="26"/>
      <x:c r="N68" s="26"/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6"/>
      <x:c r="Z68" s="26"/>
    </x:row>
    <x:row r="69">
      <x:c r="A69" s="26"/>
      <x:c r="B69" s="26"/>
      <x:c r="C69" s="26"/>
      <x:c r="D69" s="26"/>
      <x:c r="E69" s="26"/>
      <x:c r="F69" s="26"/>
      <x:c r="G69" s="26"/>
      <x:c r="H69" s="26"/>
      <x:c r="I69" s="26"/>
      <x:c r="J69" s="26"/>
      <x:c r="K69" s="26"/>
      <x:c r="L69" s="26"/>
      <x:c r="M69" s="26"/>
      <x:c r="N69" s="26"/>
      <x:c r="O69" s="26"/>
      <x:c r="P69" s="26"/>
      <x:c r="Q69" s="26"/>
      <x:c r="R69" s="26"/>
      <x:c r="S69" s="26"/>
      <x:c r="T69" s="26"/>
      <x:c r="U69" s="26"/>
      <x:c r="V69" s="26"/>
      <x:c r="W69" s="26"/>
      <x:c r="X69" s="26"/>
      <x:c r="Y69" s="26"/>
      <x:c r="Z69" s="26"/>
    </x:row>
    <x:row r="70">
      <x:c r="A70" s="26"/>
      <x:c r="B70" s="26"/>
      <x:c r="C70" s="26"/>
      <x:c r="D70" s="26"/>
      <x:c r="E70" s="26"/>
      <x:c r="F70" s="26"/>
      <x:c r="G70" s="26"/>
      <x:c r="H70" s="26"/>
      <x:c r="I70" s="26"/>
      <x:c r="J70" s="26"/>
      <x:c r="K70" s="26"/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</x:row>
    <x:row r="71">
      <x:c r="A71" s="26"/>
      <x:c r="B71" s="26"/>
      <x:c r="C71" s="26"/>
      <x:c r="D71" s="26"/>
      <x:c r="E71" s="26"/>
      <x:c r="F71" s="26"/>
      <x:c r="G71" s="26"/>
      <x:c r="H71" s="26"/>
      <x:c r="I71" s="26"/>
      <x:c r="J71" s="26"/>
      <x:c r="K71" s="26"/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6"/>
      <x:c r="Z71" s="26"/>
    </x:row>
    <x:row r="72">
      <x:c r="A72" s="26"/>
      <x:c r="B72" s="26"/>
      <x:c r="C72" s="26"/>
      <x:c r="D72" s="26"/>
      <x:c r="E72" s="26"/>
      <x:c r="F72" s="26"/>
      <x:c r="G72" s="26"/>
      <x:c r="H72" s="26"/>
      <x:c r="I72" s="26"/>
      <x:c r="J72" s="26"/>
      <x:c r="K72" s="26"/>
      <x:c r="L72" s="26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/>
      <x:c r="Y72" s="26"/>
      <x:c r="Z72" s="26"/>
    </x:row>
    <x:row r="73">
      <x:c r="A73" s="26"/>
      <x:c r="B73" s="26"/>
      <x:c r="C73" s="26"/>
      <x:c r="D73" s="26"/>
      <x:c r="E73" s="26"/>
      <x:c r="F73" s="26"/>
      <x:c r="G73" s="26"/>
      <x:c r="H73" s="26"/>
      <x:c r="I73" s="26"/>
      <x:c r="J73" s="26"/>
      <x:c r="K73" s="26"/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</x:row>
    <x:row r="74">
      <x:c r="A74" s="26"/>
      <x:c r="B74" s="26"/>
      <x:c r="C74" s="26"/>
      <x:c r="D74" s="26"/>
      <x:c r="E74" s="26"/>
      <x:c r="F74" s="26"/>
      <x:c r="G74" s="26"/>
      <x:c r="H74" s="26"/>
      <x:c r="I74" s="26"/>
      <x:c r="J74" s="26"/>
      <x:c r="K74" s="26"/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6"/>
      <x:c r="Z74" s="26"/>
    </x:row>
    <x:row r="75">
      <x:c r="A75" s="26"/>
      <x:c r="B75" s="26"/>
      <x:c r="C75" s="26"/>
      <x:c r="D75" s="26"/>
      <x:c r="E75" s="26"/>
      <x:c r="F75" s="26"/>
      <x:c r="G75" s="26"/>
      <x:c r="H75" s="26"/>
      <x:c r="I75" s="26"/>
      <x:c r="J75" s="26"/>
      <x:c r="K75" s="26"/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6"/>
      <x:c r="Z75" s="26"/>
    </x:row>
    <x:row r="76">
      <x:c r="A76" s="26"/>
      <x:c r="B76" s="26"/>
      <x:c r="C76" s="26"/>
      <x:c r="D76" s="26"/>
      <x:c r="E76" s="26"/>
      <x:c r="F76" s="26"/>
      <x:c r="G76" s="26"/>
      <x:c r="H76" s="26"/>
      <x:c r="I76" s="26"/>
      <x:c r="J76" s="26"/>
      <x:c r="K76" s="26"/>
      <x:c r="L76" s="26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6"/>
      <x:c r="Z76" s="26"/>
    </x:row>
    <x:row r="77">
      <x:c r="A77" s="26"/>
      <x:c r="B77" s="26"/>
      <x:c r="C77" s="26"/>
      <x:c r="D77" s="26"/>
      <x:c r="E77" s="26"/>
      <x:c r="F77" s="26"/>
      <x:c r="G77" s="26"/>
      <x:c r="H77" s="26"/>
      <x:c r="I77" s="26"/>
      <x:c r="J77" s="26"/>
      <x:c r="K77" s="26"/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</x:row>
    <x:row r="78">
      <x:c r="A78" s="26"/>
      <x:c r="B78" s="26"/>
      <x:c r="C78" s="26"/>
      <x:c r="D78" s="26"/>
      <x:c r="E78" s="26"/>
      <x:c r="F78" s="26"/>
      <x:c r="G78" s="26"/>
      <x:c r="H78" s="26"/>
      <x:c r="I78" s="26"/>
      <x:c r="J78" s="26"/>
      <x:c r="K78" s="26"/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6"/>
      <x:c r="Z78" s="26"/>
    </x:row>
    <x:row r="79">
      <x:c r="A79" s="26"/>
      <x:c r="B79" s="26"/>
      <x:c r="C79" s="26"/>
      <x:c r="D79" s="26"/>
      <x:c r="E79" s="26"/>
      <x:c r="F79" s="26"/>
      <x:c r="G79" s="26"/>
      <x:c r="H79" s="26"/>
      <x:c r="I79" s="26"/>
      <x:c r="J79" s="26"/>
      <x:c r="K79" s="26"/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/>
      <x:c r="Z79" s="26"/>
    </x:row>
    <x:row r="80">
      <x:c r="A80" s="26"/>
      <x:c r="B80" s="26"/>
      <x:c r="C80" s="26"/>
      <x:c r="D80" s="26"/>
      <x:c r="E80" s="26"/>
      <x:c r="F80" s="26"/>
      <x:c r="G80" s="26"/>
      <x:c r="H80" s="26"/>
      <x:c r="I80" s="26"/>
      <x:c r="J80" s="26"/>
      <x:c r="K80" s="26"/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</x:row>
    <x:row r="81">
      <x:c r="A81" s="26"/>
      <x:c r="B81" s="26"/>
      <x:c r="C81" s="26"/>
      <x:c r="D81" s="26"/>
      <x:c r="E81" s="26"/>
      <x:c r="F81" s="26"/>
      <x:c r="G81" s="26"/>
      <x:c r="H81" s="26"/>
      <x:c r="I81" s="26"/>
      <x:c r="J81" s="26"/>
      <x:c r="K81" s="26"/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  <x:c r="Z81" s="26"/>
    </x:row>
    <x:row r="82">
      <x:c r="A82" s="26"/>
      <x:c r="B82" s="26"/>
      <x:c r="C82" s="26"/>
      <x:c r="D82" s="26"/>
      <x:c r="E82" s="26"/>
      <x:c r="F82" s="26"/>
      <x:c r="G82" s="26"/>
      <x:c r="H82" s="26"/>
      <x:c r="I82" s="26"/>
      <x:c r="J82" s="26"/>
      <x:c r="K82" s="26"/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</x:row>
    <x:row r="83">
      <x:c r="A83" s="26"/>
      <x:c r="B83" s="26"/>
      <x:c r="C83" s="26"/>
      <x:c r="D83" s="26"/>
      <x:c r="E83" s="26"/>
      <x:c r="F83" s="26"/>
      <x:c r="G83" s="26"/>
      <x:c r="H83" s="26"/>
      <x:c r="I83" s="26"/>
      <x:c r="J83" s="26"/>
      <x:c r="K83" s="26"/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6"/>
    </x:row>
    <x:row r="84">
      <x:c r="A84" s="26"/>
      <x:c r="B84" s="26"/>
      <x:c r="C84" s="26"/>
      <x:c r="D84" s="26"/>
      <x:c r="E84" s="26"/>
      <x:c r="F84" s="26"/>
      <x:c r="G84" s="26"/>
      <x:c r="H84" s="26"/>
      <x:c r="I84" s="26"/>
      <x:c r="J84" s="26"/>
      <x:c r="K84" s="26"/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6"/>
    </x:row>
    <x:row r="85">
      <x:c r="A85" s="26"/>
      <x:c r="B85" s="26"/>
      <x:c r="C85" s="26"/>
      <x:c r="D85" s="26"/>
      <x:c r="E85" s="26"/>
      <x:c r="F85" s="26"/>
      <x:c r="G85" s="26"/>
      <x:c r="H85" s="26"/>
      <x:c r="I85" s="26"/>
      <x:c r="J85" s="26"/>
      <x:c r="K85" s="26"/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  <x:c r="Z85" s="26"/>
    </x:row>
    <x:row r="86">
      <x:c r="A86" s="26"/>
      <x:c r="B86" s="26"/>
      <x:c r="C86" s="26"/>
      <x:c r="D86" s="26"/>
      <x:c r="E86" s="26"/>
      <x:c r="F86" s="26"/>
      <x:c r="G86" s="26"/>
      <x:c r="H86" s="26"/>
      <x:c r="I86" s="26"/>
      <x:c r="J86" s="26"/>
      <x:c r="K86" s="26"/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6"/>
    </x:row>
    <x:row r="87">
      <x:c r="A87" s="26"/>
      <x:c r="B87" s="26"/>
      <x:c r="C87" s="26"/>
      <x:c r="D87" s="26"/>
      <x:c r="E87" s="26"/>
      <x:c r="F87" s="26"/>
      <x:c r="G87" s="26"/>
      <x:c r="H87" s="26"/>
      <x:c r="I87" s="26"/>
      <x:c r="J87" s="26"/>
      <x:c r="K87" s="26"/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6"/>
    </x:row>
    <x:row r="88">
      <x:c r="A88" s="26"/>
      <x:c r="B88" s="26"/>
      <x:c r="C88" s="26"/>
      <x:c r="D88" s="26"/>
      <x:c r="E88" s="26"/>
      <x:c r="F88" s="26"/>
      <x:c r="G88" s="26"/>
      <x:c r="H88" s="26"/>
      <x:c r="I88" s="26"/>
      <x:c r="J88" s="26"/>
      <x:c r="K88" s="26"/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6"/>
    </x:row>
    <x:row r="89">
      <x:c r="A89" s="26"/>
      <x:c r="B89" s="26"/>
      <x:c r="C89" s="26"/>
      <x:c r="D89" s="26"/>
      <x:c r="E89" s="26"/>
      <x:c r="F89" s="26"/>
      <x:c r="G89" s="26"/>
      <x:c r="H89" s="26"/>
      <x:c r="I89" s="26"/>
      <x:c r="J89" s="26"/>
      <x:c r="K89" s="26"/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6"/>
    </x:row>
    <x:row r="90">
      <x:c r="A90" s="26"/>
      <x:c r="B90" s="26"/>
      <x:c r="C90" s="26"/>
      <x:c r="D90" s="26"/>
      <x:c r="E90" s="26"/>
      <x:c r="F90" s="26"/>
      <x:c r="G90" s="26"/>
      <x:c r="H90" s="26"/>
      <x:c r="I90" s="26"/>
      <x:c r="J90" s="26"/>
      <x:c r="K90" s="26"/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6"/>
    </x:row>
    <x:row r="91">
      <x:c r="A91" s="26"/>
      <x:c r="B91" s="26"/>
      <x:c r="C91" s="26"/>
      <x:c r="D91" s="26"/>
      <x:c r="E91" s="26"/>
      <x:c r="F91" s="26"/>
      <x:c r="G91" s="26"/>
      <x:c r="H91" s="26"/>
      <x:c r="I91" s="26"/>
      <x:c r="J91" s="26"/>
      <x:c r="K91" s="26"/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6"/>
    </x:row>
    <x:row r="92">
      <x:c r="A92" s="26"/>
      <x:c r="B92" s="26"/>
      <x:c r="C92" s="26"/>
      <x:c r="D92" s="26"/>
      <x:c r="E92" s="26"/>
      <x:c r="F92" s="26"/>
      <x:c r="G92" s="26"/>
      <x:c r="H92" s="26"/>
      <x:c r="I92" s="26"/>
      <x:c r="J92" s="26"/>
      <x:c r="K92" s="26"/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6"/>
    </x:row>
    <x:row r="93">
      <x:c r="A93" s="26"/>
      <x:c r="B93" s="26"/>
      <x:c r="C93" s="26"/>
      <x:c r="D93" s="26"/>
      <x:c r="E93" s="26"/>
      <x:c r="F93" s="26"/>
      <x:c r="G93" s="26"/>
      <x:c r="H93" s="26"/>
      <x:c r="I93" s="26"/>
      <x:c r="J93" s="26"/>
      <x:c r="K93" s="26"/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6"/>
    </x:row>
    <x:row r="94">
      <x:c r="A94" s="26"/>
      <x:c r="B94" s="26"/>
      <x:c r="C94" s="26"/>
      <x:c r="D94" s="26"/>
      <x:c r="E94" s="26"/>
      <x:c r="F94" s="26"/>
      <x:c r="G94" s="26"/>
      <x:c r="H94" s="26"/>
      <x:c r="I94" s="26"/>
      <x:c r="J94" s="26"/>
      <x:c r="K94" s="26"/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6"/>
    </x:row>
    <x:row r="95">
      <x:c r="A95" s="26"/>
      <x:c r="B95" s="26"/>
      <x:c r="C95" s="26"/>
      <x:c r="D95" s="26"/>
      <x:c r="E95" s="26"/>
      <x:c r="F95" s="26"/>
      <x:c r="G95" s="26"/>
      <x:c r="H95" s="26"/>
      <x:c r="I95" s="26"/>
      <x:c r="J95" s="26"/>
      <x:c r="K95" s="26"/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</x:row>
    <x:row r="96">
      <x:c r="A96" s="26"/>
      <x:c r="B96" s="26"/>
      <x:c r="C96" s="26"/>
      <x:c r="D96" s="26"/>
      <x:c r="E96" s="26"/>
      <x:c r="F96" s="26"/>
      <x:c r="G96" s="26"/>
      <x:c r="H96" s="26"/>
      <x:c r="I96" s="26"/>
      <x:c r="J96" s="26"/>
      <x:c r="K96" s="26"/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</x:row>
    <x:row r="97">
      <x:c r="A97" s="26"/>
      <x:c r="B97" s="26"/>
      <x:c r="C97" s="26"/>
      <x:c r="D97" s="26"/>
      <x:c r="E97" s="26"/>
      <x:c r="F97" s="26"/>
      <x:c r="G97" s="26"/>
      <x:c r="H97" s="26"/>
      <x:c r="I97" s="26"/>
      <x:c r="J97" s="26"/>
      <x:c r="K97" s="26"/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</x:row>
    <x:row r="98">
      <x:c r="A98" s="26"/>
      <x:c r="B98" s="26"/>
      <x:c r="C98" s="26"/>
      <x:c r="D98" s="26"/>
      <x:c r="E98" s="26"/>
      <x:c r="F98" s="26"/>
      <x:c r="G98" s="26"/>
      <x:c r="H98" s="26"/>
      <x:c r="I98" s="26"/>
      <x:c r="J98" s="26"/>
      <x:c r="K98" s="26"/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</x:row>
    <x:row r="99">
      <x:c r="A99" s="26"/>
      <x:c r="B99" s="26"/>
      <x:c r="C99" s="26"/>
      <x:c r="D99" s="26"/>
      <x:c r="E99" s="26"/>
      <x:c r="F99" s="26"/>
      <x:c r="G99" s="26"/>
      <x:c r="H99" s="26"/>
      <x:c r="I99" s="26"/>
      <x:c r="J99" s="26"/>
      <x:c r="K99" s="26"/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</x:row>
    <x:row r="100">
      <x:c r="A100" s="26"/>
      <x:c r="B100" s="26"/>
      <x:c r="C100" s="26"/>
      <x:c r="D100" s="26"/>
      <x:c r="E100" s="26"/>
      <x:c r="F100" s="26"/>
      <x:c r="G100" s="26"/>
      <x:c r="H100" s="26"/>
      <x:c r="I100" s="26"/>
      <x:c r="J100" s="26"/>
      <x:c r="K100" s="26"/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</x:row>
    <x:row r="101">
      <x:c r="A101" s="26"/>
      <x:c r="B101" s="26"/>
      <x:c r="C101" s="26"/>
      <x:c r="D101" s="26"/>
      <x:c r="E101" s="26"/>
      <x:c r="F101" s="26"/>
      <x:c r="G101" s="26"/>
      <x:c r="H101" s="26"/>
      <x:c r="I101" s="26"/>
      <x:c r="J101" s="26"/>
      <x:c r="K101" s="26"/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</x:row>
    <x:row r="102">
      <x:c r="A102" s="26"/>
      <x:c r="B102" s="26"/>
      <x:c r="C102" s="26"/>
      <x:c r="D102" s="26"/>
      <x:c r="E102" s="26"/>
      <x:c r="F102" s="26"/>
      <x:c r="G102" s="26"/>
      <x:c r="H102" s="26"/>
      <x:c r="I102" s="26"/>
      <x:c r="J102" s="26"/>
      <x:c r="K102" s="26"/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  <x:c r="Z102" s="26"/>
    </x:row>
    <x:row r="103">
      <x:c r="A103" s="26"/>
      <x:c r="B103" s="26"/>
      <x:c r="C103" s="26"/>
      <x:c r="D103" s="26"/>
      <x:c r="E103" s="26"/>
      <x:c r="F103" s="26"/>
      <x:c r="G103" s="26"/>
      <x:c r="H103" s="26"/>
      <x:c r="I103" s="26"/>
      <x:c r="J103" s="26"/>
      <x:c r="K103" s="26"/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</x:row>
    <x:row r="104">
      <x:c r="A104" s="26"/>
      <x:c r="B104" s="26"/>
      <x:c r="C104" s="26"/>
      <x:c r="D104" s="26"/>
      <x:c r="E104" s="26"/>
      <x:c r="F104" s="26"/>
      <x:c r="G104" s="26"/>
      <x:c r="H104" s="26"/>
      <x:c r="I104" s="26"/>
      <x:c r="J104" s="26"/>
      <x:c r="K104" s="26"/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</x:row>
    <x:row r="105">
      <x:c r="A105" s="26"/>
      <x:c r="B105" s="26"/>
      <x:c r="C105" s="26"/>
      <x:c r="D105" s="26"/>
      <x:c r="E105" s="26"/>
      <x:c r="F105" s="26"/>
      <x:c r="G105" s="26"/>
      <x:c r="H105" s="26"/>
      <x:c r="I105" s="26"/>
      <x:c r="J105" s="26"/>
      <x:c r="K105" s="26"/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</x:row>
    <x:row r="106">
      <x:c r="A106" s="26"/>
      <x:c r="B106" s="26"/>
      <x:c r="C106" s="26"/>
      <x:c r="D106" s="26"/>
      <x:c r="E106" s="26"/>
      <x:c r="F106" s="26"/>
      <x:c r="G106" s="26"/>
      <x:c r="H106" s="26"/>
      <x:c r="I106" s="26"/>
      <x:c r="J106" s="26"/>
      <x:c r="K106" s="26"/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</x:row>
    <x:row r="107">
      <x:c r="A107" s="26"/>
      <x:c r="B107" s="26"/>
      <x:c r="C107" s="26"/>
      <x:c r="D107" s="26"/>
      <x:c r="E107" s="26"/>
      <x:c r="F107" s="26"/>
      <x:c r="G107" s="26"/>
      <x:c r="H107" s="26"/>
      <x:c r="I107" s="26"/>
      <x:c r="J107" s="26"/>
      <x:c r="K107" s="26"/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</x:row>
    <x:row r="108">
      <x:c r="A108" s="26"/>
      <x:c r="B108" s="26"/>
      <x:c r="C108" s="26"/>
      <x:c r="D108" s="26"/>
      <x:c r="E108" s="26"/>
      <x:c r="F108" s="26"/>
      <x:c r="G108" s="26"/>
      <x:c r="H108" s="26"/>
      <x:c r="I108" s="26"/>
      <x:c r="J108" s="26"/>
      <x:c r="K108" s="26"/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</x:row>
    <x:row r="109">
      <x:c r="A109" s="26"/>
      <x:c r="B109" s="26"/>
      <x:c r="C109" s="26"/>
      <x:c r="D109" s="26"/>
      <x:c r="E109" s="26"/>
      <x:c r="F109" s="26"/>
      <x:c r="G109" s="26"/>
      <x:c r="H109" s="26"/>
      <x:c r="I109" s="26"/>
      <x:c r="J109" s="26"/>
      <x:c r="K109" s="26"/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</x:row>
    <x:row r="110">
      <x:c r="A110" s="26"/>
      <x:c r="B110" s="26"/>
      <x:c r="C110" s="26"/>
      <x:c r="D110" s="26"/>
      <x:c r="E110" s="26"/>
      <x:c r="F110" s="26"/>
      <x:c r="G110" s="26"/>
      <x:c r="H110" s="26"/>
      <x:c r="I110" s="26"/>
      <x:c r="J110" s="26"/>
      <x:c r="K110" s="26"/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</x:row>
    <x:row r="111">
      <x:c r="A111" s="26"/>
      <x:c r="B111" s="26"/>
      <x:c r="C111" s="26"/>
      <x:c r="D111" s="26"/>
      <x:c r="E111" s="26"/>
      <x:c r="F111" s="26"/>
      <x:c r="G111" s="26"/>
      <x:c r="H111" s="26"/>
      <x:c r="I111" s="26"/>
      <x:c r="J111" s="26"/>
      <x:c r="K111" s="26"/>
      <x:c r="L111" s="26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/>
      <x:c r="Y111" s="26"/>
      <x:c r="Z111" s="26"/>
    </x:row>
    <x:row r="112">
      <x:c r="A112" s="26"/>
      <x:c r="B112" s="26"/>
      <x:c r="C112" s="26"/>
      <x:c r="D112" s="26"/>
      <x:c r="E112" s="26"/>
      <x:c r="F112" s="26"/>
      <x:c r="G112" s="26"/>
      <x:c r="H112" s="26"/>
      <x:c r="I112" s="26"/>
      <x:c r="J112" s="26"/>
      <x:c r="K112" s="26"/>
      <x:c r="L112" s="26"/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/>
      <x:c r="Z112" s="26"/>
    </x:row>
    <x:row r="113">
      <x:c r="A113" s="26"/>
      <x:c r="B113" s="26"/>
      <x:c r="C113" s="26"/>
      <x:c r="D113" s="26"/>
      <x:c r="E113" s="26"/>
      <x:c r="F113" s="26"/>
      <x:c r="G113" s="26"/>
      <x:c r="H113" s="26"/>
      <x:c r="I113" s="26"/>
      <x:c r="J113" s="26"/>
      <x:c r="K113" s="26"/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6"/>
    </x:row>
    <x:row r="114">
      <x:c r="A114" s="26"/>
      <x:c r="B114" s="26"/>
      <x:c r="C114" s="26"/>
      <x:c r="D114" s="26"/>
      <x:c r="E114" s="26"/>
      <x:c r="F114" s="26"/>
      <x:c r="G114" s="26"/>
      <x:c r="H114" s="26"/>
      <x:c r="I114" s="26"/>
      <x:c r="J114" s="26"/>
      <x:c r="K114" s="26"/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</x:row>
    <x:row r="115">
      <x:c r="A115" s="26"/>
      <x:c r="B115" s="26"/>
      <x:c r="C115" s="26"/>
      <x:c r="D115" s="26"/>
      <x:c r="E115" s="26"/>
      <x:c r="F115" s="26"/>
      <x:c r="G115" s="26"/>
      <x:c r="H115" s="26"/>
      <x:c r="I115" s="26"/>
      <x:c r="J115" s="26"/>
      <x:c r="K115" s="26"/>
      <x:c r="L115" s="26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6"/>
    </x:row>
    <x:row r="116">
      <x:c r="A116" s="26"/>
      <x:c r="B116" s="26"/>
      <x:c r="C116" s="26"/>
      <x:c r="D116" s="26"/>
      <x:c r="E116" s="26"/>
      <x:c r="F116" s="26"/>
      <x:c r="G116" s="26"/>
      <x:c r="H116" s="26"/>
      <x:c r="I116" s="26"/>
      <x:c r="J116" s="26"/>
      <x:c r="K116" s="26"/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</x:row>
    <x:row r="117">
      <x:c r="A117" s="26"/>
      <x:c r="B117" s="26"/>
      <x:c r="C117" s="26"/>
      <x:c r="D117" s="26"/>
      <x:c r="E117" s="26"/>
      <x:c r="F117" s="26"/>
      <x:c r="G117" s="26"/>
      <x:c r="H117" s="26"/>
      <x:c r="I117" s="26"/>
      <x:c r="J117" s="26"/>
      <x:c r="K117" s="26"/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</x:row>
    <x:row r="118">
      <x:c r="A118" s="26"/>
      <x:c r="B118" s="26"/>
      <x:c r="C118" s="26"/>
      <x:c r="D118" s="26"/>
      <x:c r="E118" s="26"/>
      <x:c r="F118" s="26"/>
      <x:c r="G118" s="26"/>
      <x:c r="H118" s="26"/>
      <x:c r="I118" s="26"/>
      <x:c r="J118" s="26"/>
      <x:c r="K118" s="26"/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</x:row>
    <x:row r="119">
      <x:c r="A119" s="26"/>
      <x:c r="B119" s="26"/>
      <x:c r="C119" s="26"/>
      <x:c r="D119" s="26"/>
      <x:c r="E119" s="26"/>
      <x:c r="F119" s="26"/>
      <x:c r="G119" s="26"/>
      <x:c r="H119" s="26"/>
      <x:c r="I119" s="26"/>
      <x:c r="J119" s="26"/>
      <x:c r="K119" s="26"/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</x:row>
    <x:row r="120">
      <x:c r="A120" s="26"/>
      <x:c r="B120" s="26"/>
      <x:c r="C120" s="26"/>
      <x:c r="D120" s="26"/>
      <x:c r="E120" s="26"/>
      <x:c r="F120" s="26"/>
      <x:c r="G120" s="26"/>
      <x:c r="H120" s="26"/>
      <x:c r="I120" s="26"/>
      <x:c r="J120" s="26"/>
      <x:c r="K120" s="26"/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</x:row>
    <x:row r="121">
      <x:c r="A121" s="26"/>
      <x:c r="B121" s="26"/>
      <x:c r="C121" s="26"/>
      <x:c r="D121" s="26"/>
      <x:c r="E121" s="26"/>
      <x:c r="F121" s="26"/>
      <x:c r="G121" s="26"/>
      <x:c r="H121" s="26"/>
      <x:c r="I121" s="26"/>
      <x:c r="J121" s="26"/>
      <x:c r="K121" s="26"/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6"/>
    </x:row>
    <x:row r="122">
      <x:c r="A122" s="26"/>
      <x:c r="B122" s="26"/>
      <x:c r="C122" s="26"/>
      <x:c r="D122" s="26"/>
      <x:c r="E122" s="26"/>
      <x:c r="F122" s="26"/>
      <x:c r="G122" s="26"/>
      <x:c r="H122" s="26"/>
      <x:c r="I122" s="26"/>
      <x:c r="J122" s="26"/>
      <x:c r="K122" s="26"/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6"/>
    </x:row>
    <x:row r="123">
      <x:c r="A123" s="26"/>
      <x:c r="B123" s="26"/>
      <x:c r="C123" s="26"/>
      <x:c r="D123" s="26"/>
      <x:c r="E123" s="26"/>
      <x:c r="F123" s="26"/>
      <x:c r="G123" s="26"/>
      <x:c r="H123" s="26"/>
      <x:c r="I123" s="26"/>
      <x:c r="J123" s="26"/>
      <x:c r="K123" s="26"/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6"/>
    </x:row>
    <x:row r="124">
      <x:c r="A124" s="26"/>
      <x:c r="B124" s="26"/>
      <x:c r="C124" s="26"/>
      <x:c r="D124" s="26"/>
      <x:c r="E124" s="26"/>
      <x:c r="F124" s="26"/>
      <x:c r="G124" s="26"/>
      <x:c r="H124" s="26"/>
      <x:c r="I124" s="26"/>
      <x:c r="J124" s="26"/>
      <x:c r="K124" s="26"/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</x:row>
    <x:row r="125">
      <x:c r="A125" s="26"/>
      <x:c r="B125" s="26"/>
      <x:c r="C125" s="26"/>
      <x:c r="D125" s="26"/>
      <x:c r="E125" s="26"/>
      <x:c r="F125" s="26"/>
      <x:c r="G125" s="26"/>
      <x:c r="H125" s="26"/>
      <x:c r="I125" s="26"/>
      <x:c r="J125" s="26"/>
      <x:c r="K125" s="26"/>
      <x:c r="L125" s="26"/>
      <x:c r="M125" s="26"/>
      <x:c r="N125" s="26"/>
      <x:c r="O125" s="26"/>
      <x:c r="P125" s="26"/>
      <x:c r="Q125" s="26"/>
      <x:c r="R125" s="26"/>
      <x:c r="S125" s="26"/>
      <x:c r="T125" s="26"/>
      <x:c r="U125" s="26"/>
      <x:c r="V125" s="26"/>
      <x:c r="W125" s="26"/>
      <x:c r="X125" s="26"/>
      <x:c r="Y125" s="26"/>
      <x:c r="Z125" s="26"/>
    </x:row>
    <x:row r="126">
      <x:c r="A126" s="26"/>
      <x:c r="B126" s="26"/>
      <x:c r="C126" s="26"/>
      <x:c r="D126" s="26"/>
      <x:c r="E126" s="26"/>
      <x:c r="F126" s="26"/>
      <x:c r="G126" s="26"/>
      <x:c r="H126" s="26"/>
      <x:c r="I126" s="26"/>
      <x:c r="J126" s="26"/>
      <x:c r="K126" s="26"/>
      <x:c r="L126" s="26"/>
      <x:c r="M126" s="26"/>
      <x:c r="N126" s="26"/>
      <x:c r="O126" s="26"/>
      <x:c r="P126" s="26"/>
      <x:c r="Q126" s="26"/>
      <x:c r="R126" s="26"/>
      <x:c r="S126" s="26"/>
      <x:c r="T126" s="26"/>
      <x:c r="U126" s="26"/>
      <x:c r="V126" s="26"/>
      <x:c r="W126" s="26"/>
      <x:c r="X126" s="26"/>
      <x:c r="Y126" s="26"/>
      <x:c r="Z126" s="26"/>
    </x:row>
    <x:row r="127">
      <x:c r="A127" s="26"/>
      <x:c r="B127" s="26"/>
      <x:c r="C127" s="26"/>
      <x:c r="D127" s="26"/>
      <x:c r="E127" s="26"/>
      <x:c r="F127" s="26"/>
      <x:c r="G127" s="26"/>
      <x:c r="H127" s="26"/>
      <x:c r="I127" s="26"/>
      <x:c r="J127" s="26"/>
      <x:c r="K127" s="26"/>
      <x:c r="L127" s="26"/>
      <x:c r="M127" s="26"/>
      <x:c r="N127" s="26"/>
      <x:c r="O127" s="26"/>
      <x:c r="P127" s="26"/>
      <x:c r="Q127" s="26"/>
      <x:c r="R127" s="26"/>
      <x:c r="S127" s="26"/>
      <x:c r="T127" s="26"/>
      <x:c r="U127" s="26"/>
      <x:c r="V127" s="26"/>
      <x:c r="W127" s="26"/>
      <x:c r="X127" s="26"/>
      <x:c r="Y127" s="26"/>
      <x:c r="Z127" s="26"/>
    </x:row>
    <x:row r="128">
      <x:c r="A128" s="26"/>
      <x:c r="B128" s="26"/>
      <x:c r="C128" s="26"/>
      <x:c r="D128" s="26"/>
      <x:c r="E128" s="26"/>
      <x:c r="F128" s="26"/>
      <x:c r="G128" s="26"/>
      <x:c r="H128" s="26"/>
      <x:c r="I128" s="26"/>
      <x:c r="J128" s="26"/>
      <x:c r="K128" s="26"/>
      <x:c r="L128" s="26"/>
      <x:c r="M128" s="26"/>
      <x:c r="N128" s="26"/>
      <x:c r="O128" s="26"/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6"/>
    </x:row>
    <x:row r="129">
      <x:c r="A129" s="26"/>
      <x:c r="B129" s="26"/>
      <x:c r="C129" s="26"/>
      <x:c r="D129" s="26"/>
      <x:c r="E129" s="26"/>
      <x:c r="F129" s="26"/>
      <x:c r="G129" s="26"/>
      <x:c r="H129" s="26"/>
      <x:c r="I129" s="26"/>
      <x:c r="J129" s="26"/>
      <x:c r="K129" s="26"/>
      <x:c r="L129" s="26"/>
      <x:c r="M129" s="26"/>
      <x:c r="N129" s="26"/>
      <x:c r="O129" s="26"/>
      <x:c r="P129" s="26"/>
      <x:c r="Q129" s="26"/>
      <x:c r="R129" s="26"/>
      <x:c r="S129" s="26"/>
      <x:c r="T129" s="26"/>
      <x:c r="U129" s="26"/>
      <x:c r="V129" s="26"/>
      <x:c r="W129" s="26"/>
      <x:c r="X129" s="26"/>
      <x:c r="Y129" s="26"/>
      <x:c r="Z129" s="26"/>
    </x:row>
    <x:row r="130">
      <x:c r="A130" s="26"/>
      <x:c r="B130" s="26"/>
      <x:c r="C130" s="26"/>
      <x:c r="D130" s="26"/>
      <x:c r="E130" s="26"/>
      <x:c r="F130" s="26"/>
      <x:c r="G130" s="26"/>
      <x:c r="H130" s="26"/>
      <x:c r="I130" s="26"/>
      <x:c r="J130" s="26"/>
      <x:c r="K130" s="26"/>
      <x:c r="L130" s="26"/>
      <x:c r="M130" s="26"/>
      <x:c r="N130" s="26"/>
      <x:c r="O130" s="26"/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/>
      <x:c r="Z130" s="26"/>
    </x:row>
    <x:row r="131">
      <x:c r="A131" s="26"/>
      <x:c r="B131" s="26"/>
      <x:c r="C131" s="26"/>
      <x:c r="D131" s="26"/>
      <x:c r="E131" s="26"/>
      <x:c r="F131" s="26"/>
      <x:c r="G131" s="26"/>
      <x:c r="H131" s="26"/>
      <x:c r="I131" s="26"/>
      <x:c r="J131" s="26"/>
      <x:c r="K131" s="26"/>
      <x:c r="L131" s="26"/>
      <x:c r="M131" s="26"/>
      <x:c r="N131" s="26"/>
      <x:c r="O131" s="26"/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6"/>
    </x:row>
    <x:row r="132">
      <x:c r="A132" s="26"/>
      <x:c r="B132" s="26"/>
      <x:c r="C132" s="26"/>
      <x:c r="D132" s="26"/>
      <x:c r="E132" s="26"/>
      <x:c r="F132" s="26"/>
      <x:c r="G132" s="26"/>
      <x:c r="H132" s="26"/>
      <x:c r="I132" s="26"/>
      <x:c r="J132" s="26"/>
      <x:c r="K132" s="26"/>
      <x:c r="L132" s="26"/>
      <x:c r="M132" s="26"/>
      <x:c r="N132" s="26"/>
      <x:c r="O132" s="26"/>
      <x:c r="P132" s="26"/>
      <x:c r="Q132" s="26"/>
      <x:c r="R132" s="26"/>
      <x:c r="S132" s="26"/>
      <x:c r="T132" s="26"/>
      <x:c r="U132" s="26"/>
      <x:c r="V132" s="26"/>
      <x:c r="W132" s="26"/>
      <x:c r="X132" s="26"/>
      <x:c r="Y132" s="26"/>
      <x:c r="Z132" s="26"/>
    </x:row>
    <x:row r="133">
      <x:c r="A133" s="26"/>
      <x:c r="B133" s="26"/>
      <x:c r="C133" s="26"/>
      <x:c r="D133" s="26"/>
      <x:c r="E133" s="26"/>
      <x:c r="F133" s="26"/>
      <x:c r="G133" s="26"/>
      <x:c r="H133" s="26"/>
      <x:c r="I133" s="26"/>
      <x:c r="J133" s="26"/>
      <x:c r="K133" s="26"/>
      <x:c r="L133" s="26"/>
      <x:c r="M133" s="26"/>
      <x:c r="N133" s="26"/>
      <x:c r="O133" s="26"/>
      <x:c r="P133" s="26"/>
      <x:c r="Q133" s="26"/>
      <x:c r="R133" s="26"/>
      <x:c r="S133" s="26"/>
      <x:c r="T133" s="26"/>
      <x:c r="U133" s="26"/>
      <x:c r="V133" s="26"/>
      <x:c r="W133" s="26"/>
      <x:c r="X133" s="26"/>
      <x:c r="Y133" s="26"/>
      <x:c r="Z133" s="26"/>
    </x:row>
    <x:row r="134">
      <x:c r="A134" s="26"/>
      <x:c r="B134" s="26"/>
      <x:c r="C134" s="26"/>
      <x:c r="D134" s="26"/>
      <x:c r="E134" s="26"/>
      <x:c r="F134" s="26"/>
      <x:c r="G134" s="26"/>
      <x:c r="H134" s="26"/>
      <x:c r="I134" s="26"/>
      <x:c r="J134" s="26"/>
      <x:c r="K134" s="26"/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6"/>
    </x:row>
    <x:row r="135">
      <x:c r="A135" s="26"/>
      <x:c r="B135" s="26"/>
      <x:c r="C135" s="26"/>
      <x:c r="D135" s="26"/>
      <x:c r="E135" s="26"/>
      <x:c r="F135" s="26"/>
      <x:c r="G135" s="26"/>
      <x:c r="H135" s="26"/>
      <x:c r="I135" s="26"/>
      <x:c r="J135" s="26"/>
      <x:c r="K135" s="26"/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</x:row>
    <x:row r="136">
      <x:c r="A136" s="26"/>
      <x:c r="B136" s="26"/>
      <x:c r="C136" s="26"/>
      <x:c r="D136" s="26"/>
      <x:c r="E136" s="26"/>
      <x:c r="F136" s="26"/>
      <x:c r="G136" s="26"/>
      <x:c r="H136" s="26"/>
      <x:c r="I136" s="26"/>
      <x:c r="J136" s="26"/>
      <x:c r="K136" s="26"/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</x:row>
    <x:row r="137">
      <x:c r="A137" s="26"/>
      <x:c r="B137" s="26"/>
      <x:c r="C137" s="26"/>
      <x:c r="D137" s="26"/>
      <x:c r="E137" s="26"/>
      <x:c r="F137" s="26"/>
      <x:c r="G137" s="26"/>
      <x:c r="H137" s="26"/>
      <x:c r="I137" s="26"/>
      <x:c r="J137" s="26"/>
      <x:c r="K137" s="26"/>
      <x:c r="L137" s="26"/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</x:row>
    <x:row r="138">
      <x:c r="A138" s="26"/>
      <x:c r="B138" s="26"/>
      <x:c r="C138" s="26"/>
      <x:c r="D138" s="26"/>
      <x:c r="E138" s="26"/>
      <x:c r="F138" s="26"/>
      <x:c r="G138" s="26"/>
      <x:c r="H138" s="26"/>
      <x:c r="I138" s="26"/>
      <x:c r="J138" s="26"/>
      <x:c r="K138" s="26"/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</x:row>
    <x:row r="139">
      <x:c r="A139" s="26"/>
      <x:c r="B139" s="26"/>
      <x:c r="C139" s="26"/>
      <x:c r="D139" s="26"/>
      <x:c r="E139" s="26"/>
      <x:c r="F139" s="26"/>
      <x:c r="G139" s="26"/>
      <x:c r="H139" s="26"/>
      <x:c r="I139" s="26"/>
      <x:c r="J139" s="26"/>
      <x:c r="K139" s="26"/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</x:row>
    <x:row r="140">
      <x:c r="A140" s="26"/>
      <x:c r="B140" s="26"/>
      <x:c r="C140" s="26"/>
      <x:c r="D140" s="26"/>
      <x:c r="E140" s="26"/>
      <x:c r="F140" s="26"/>
      <x:c r="G140" s="26"/>
      <x:c r="H140" s="26"/>
      <x:c r="I140" s="26"/>
      <x:c r="J140" s="26"/>
      <x:c r="K140" s="26"/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</x:row>
    <x:row r="141">
      <x:c r="A141" s="26"/>
      <x:c r="B141" s="26"/>
      <x:c r="C141" s="26"/>
      <x:c r="D141" s="26"/>
      <x:c r="E141" s="26"/>
      <x:c r="F141" s="26"/>
      <x:c r="G141" s="26"/>
      <x:c r="H141" s="26"/>
      <x:c r="I141" s="26"/>
      <x:c r="J141" s="26"/>
      <x:c r="K141" s="26"/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</x:row>
    <x:row r="142">
      <x:c r="A142" s="26"/>
      <x:c r="B142" s="26"/>
      <x:c r="C142" s="26"/>
      <x:c r="D142" s="26"/>
      <x:c r="E142" s="26"/>
      <x:c r="F142" s="26"/>
      <x:c r="G142" s="26"/>
      <x:c r="H142" s="26"/>
      <x:c r="I142" s="26"/>
      <x:c r="J142" s="26"/>
      <x:c r="K142" s="26"/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/>
      <x:c r="Z142" s="26"/>
    </x:row>
    <x:row r="143">
      <x:c r="A143" s="26"/>
      <x:c r="B143" s="26"/>
      <x:c r="C143" s="26"/>
      <x:c r="D143" s="26"/>
      <x:c r="E143" s="26"/>
      <x:c r="F143" s="26"/>
      <x:c r="G143" s="26"/>
      <x:c r="H143" s="26"/>
      <x:c r="I143" s="26"/>
      <x:c r="J143" s="26"/>
      <x:c r="K143" s="26"/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</x:row>
    <x:row r="144">
      <x:c r="A144" s="26"/>
      <x:c r="B144" s="26"/>
      <x:c r="C144" s="26"/>
      <x:c r="D144" s="26"/>
      <x:c r="E144" s="26"/>
      <x:c r="F144" s="26"/>
      <x:c r="G144" s="26"/>
      <x:c r="H144" s="26"/>
      <x:c r="I144" s="26"/>
      <x:c r="J144" s="26"/>
      <x:c r="K144" s="26"/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</x:row>
    <x:row r="145">
      <x:c r="A145" s="26"/>
      <x:c r="B145" s="26"/>
      <x:c r="C145" s="26"/>
      <x:c r="D145" s="26"/>
      <x:c r="E145" s="26"/>
      <x:c r="F145" s="26"/>
      <x:c r="G145" s="26"/>
      <x:c r="H145" s="26"/>
      <x:c r="I145" s="26"/>
      <x:c r="J145" s="26"/>
      <x:c r="K145" s="26"/>
      <x:c r="L145" s="26"/>
      <x:c r="M145" s="26"/>
      <x:c r="N145" s="26"/>
      <x:c r="O145" s="26"/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6"/>
    </x:row>
    <x:row r="146">
      <x:c r="A146" s="26"/>
      <x:c r="B146" s="26"/>
      <x:c r="C146" s="26"/>
      <x:c r="D146" s="26"/>
      <x:c r="E146" s="26"/>
      <x:c r="F146" s="26"/>
      <x:c r="G146" s="26"/>
      <x:c r="H146" s="26"/>
      <x:c r="I146" s="26"/>
      <x:c r="J146" s="26"/>
      <x:c r="K146" s="26"/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6"/>
    </x:row>
    <x:row r="147">
      <x:c r="A147" s="26"/>
      <x:c r="B147" s="26"/>
      <x:c r="C147" s="26"/>
      <x:c r="D147" s="26"/>
      <x:c r="E147" s="26"/>
      <x:c r="F147" s="26"/>
      <x:c r="G147" s="26"/>
      <x:c r="H147" s="26"/>
      <x:c r="I147" s="26"/>
      <x:c r="J147" s="26"/>
      <x:c r="K147" s="26"/>
      <x:c r="L147" s="26"/>
      <x:c r="M147" s="26"/>
      <x:c r="N147" s="26"/>
      <x:c r="O147" s="26"/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6"/>
    </x:row>
    <x:row r="148">
      <x:c r="A148" s="26"/>
      <x:c r="B148" s="26"/>
      <x:c r="C148" s="26"/>
      <x:c r="D148" s="26"/>
      <x:c r="E148" s="26"/>
      <x:c r="F148" s="26"/>
      <x:c r="G148" s="26"/>
      <x:c r="H148" s="26"/>
      <x:c r="I148" s="26"/>
      <x:c r="J148" s="26"/>
      <x:c r="K148" s="26"/>
      <x:c r="L148" s="26"/>
      <x:c r="M148" s="26"/>
      <x:c r="N148" s="26"/>
      <x:c r="O148" s="26"/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6"/>
    </x:row>
    <x:row r="149">
      <x:c r="A149" s="26"/>
      <x:c r="B149" s="26"/>
      <x:c r="C149" s="26"/>
      <x:c r="D149" s="26"/>
      <x:c r="E149" s="26"/>
      <x:c r="F149" s="26"/>
      <x:c r="G149" s="26"/>
      <x:c r="H149" s="26"/>
      <x:c r="I149" s="26"/>
      <x:c r="J149" s="26"/>
      <x:c r="K149" s="26"/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6"/>
    </x:row>
    <x:row r="150">
      <x:c r="A150" s="26"/>
      <x:c r="B150" s="26"/>
      <x:c r="C150" s="26"/>
      <x:c r="D150" s="26"/>
      <x:c r="E150" s="26"/>
      <x:c r="F150" s="26"/>
      <x:c r="G150" s="26"/>
      <x:c r="H150" s="26"/>
      <x:c r="I150" s="26"/>
      <x:c r="J150" s="26"/>
      <x:c r="K150" s="26"/>
      <x:c r="L150" s="26"/>
      <x:c r="M150" s="26"/>
      <x:c r="N150" s="26"/>
      <x:c r="O150" s="26"/>
      <x:c r="P150" s="26"/>
      <x:c r="Q150" s="26"/>
      <x:c r="R150" s="26"/>
      <x:c r="S150" s="26"/>
      <x:c r="T150" s="26"/>
      <x:c r="U150" s="26"/>
      <x:c r="V150" s="26"/>
      <x:c r="W150" s="26"/>
      <x:c r="X150" s="26"/>
      <x:c r="Y150" s="26"/>
      <x:c r="Z150" s="26"/>
    </x:row>
    <x:row r="151">
      <x:c r="A151" s="26"/>
      <x:c r="B151" s="26"/>
      <x:c r="C151" s="26"/>
      <x:c r="D151" s="26"/>
      <x:c r="E151" s="26"/>
      <x:c r="F151" s="26"/>
      <x:c r="G151" s="26"/>
      <x:c r="H151" s="26"/>
      <x:c r="I151" s="26"/>
      <x:c r="J151" s="26"/>
      <x:c r="K151" s="26"/>
      <x:c r="L151" s="26"/>
      <x:c r="M151" s="26"/>
      <x:c r="N151" s="26"/>
      <x:c r="O151" s="26"/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/>
      <x:c r="Z151" s="26"/>
    </x:row>
    <x:row r="152">
      <x:c r="A152" s="26"/>
      <x:c r="B152" s="26"/>
      <x:c r="C152" s="26"/>
      <x:c r="D152" s="26"/>
      <x:c r="E152" s="26"/>
      <x:c r="F152" s="26"/>
      <x:c r="G152" s="26"/>
      <x:c r="H152" s="26"/>
      <x:c r="I152" s="26"/>
      <x:c r="J152" s="26"/>
      <x:c r="K152" s="26"/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/>
      <x:c r="W152" s="26"/>
      <x:c r="X152" s="26"/>
      <x:c r="Y152" s="26"/>
      <x:c r="Z152" s="26"/>
    </x:row>
    <x:row r="153">
      <x:c r="A153" s="26"/>
      <x:c r="B153" s="26"/>
      <x:c r="C153" s="26"/>
      <x:c r="D153" s="26"/>
      <x:c r="E153" s="26"/>
      <x:c r="F153" s="26"/>
      <x:c r="G153" s="26"/>
      <x:c r="H153" s="26"/>
      <x:c r="I153" s="26"/>
      <x:c r="J153" s="26"/>
      <x:c r="K153" s="26"/>
      <x:c r="L153" s="26"/>
      <x:c r="M153" s="26"/>
      <x:c r="N153" s="26"/>
      <x:c r="O153" s="26"/>
      <x:c r="P153" s="26"/>
      <x:c r="Q153" s="26"/>
      <x:c r="R153" s="26"/>
      <x:c r="S153" s="26"/>
      <x:c r="T153" s="26"/>
      <x:c r="U153" s="26"/>
      <x:c r="V153" s="26"/>
      <x:c r="W153" s="26"/>
      <x:c r="X153" s="26"/>
      <x:c r="Y153" s="26"/>
      <x:c r="Z153" s="26"/>
    </x:row>
    <x:row r="154">
      <x:c r="A154" s="26"/>
      <x:c r="B154" s="26"/>
      <x:c r="C154" s="26"/>
      <x:c r="D154" s="26"/>
      <x:c r="E154" s="26"/>
      <x:c r="F154" s="26"/>
      <x:c r="G154" s="26"/>
      <x:c r="H154" s="26"/>
      <x:c r="I154" s="26"/>
      <x:c r="J154" s="26"/>
      <x:c r="K154" s="26"/>
      <x:c r="L154" s="26"/>
      <x:c r="M154" s="26"/>
      <x:c r="N154" s="26"/>
      <x:c r="O154" s="26"/>
      <x:c r="P154" s="26"/>
      <x:c r="Q154" s="26"/>
      <x:c r="R154" s="26"/>
      <x:c r="S154" s="26"/>
      <x:c r="T154" s="26"/>
      <x:c r="U154" s="26"/>
      <x:c r="V154" s="26"/>
      <x:c r="W154" s="26"/>
      <x:c r="X154" s="26"/>
      <x:c r="Y154" s="26"/>
      <x:c r="Z154" s="26"/>
    </x:row>
    <x:row r="155">
      <x:c r="A155" s="26"/>
      <x:c r="B155" s="26"/>
      <x:c r="C155" s="26"/>
      <x:c r="D155" s="26"/>
      <x:c r="E155" s="26"/>
      <x:c r="F155" s="26"/>
      <x:c r="G155" s="26"/>
      <x:c r="H155" s="26"/>
      <x:c r="I155" s="26"/>
      <x:c r="J155" s="26"/>
      <x:c r="K155" s="26"/>
      <x:c r="L155" s="26"/>
      <x:c r="M155" s="26"/>
      <x:c r="N155" s="26"/>
      <x:c r="O155" s="26"/>
      <x:c r="P155" s="26"/>
      <x:c r="Q155" s="26"/>
      <x:c r="R155" s="26"/>
      <x:c r="S155" s="26"/>
      <x:c r="T155" s="26"/>
      <x:c r="U155" s="26"/>
      <x:c r="V155" s="26"/>
      <x:c r="W155" s="26"/>
      <x:c r="X155" s="26"/>
      <x:c r="Y155" s="26"/>
      <x:c r="Z155" s="26"/>
    </x:row>
    <x:row r="156">
      <x:c r="A156" s="26"/>
      <x:c r="B156" s="26"/>
      <x:c r="C156" s="26"/>
      <x:c r="D156" s="26"/>
      <x:c r="E156" s="26"/>
      <x:c r="F156" s="26"/>
      <x:c r="G156" s="26"/>
      <x:c r="H156" s="26"/>
      <x:c r="I156" s="26"/>
      <x:c r="J156" s="26"/>
      <x:c r="K156" s="26"/>
      <x:c r="L156" s="26"/>
      <x:c r="M156" s="26"/>
      <x:c r="N156" s="26"/>
      <x:c r="O156" s="26"/>
      <x:c r="P156" s="26"/>
      <x:c r="Q156" s="26"/>
      <x:c r="R156" s="26"/>
      <x:c r="S156" s="26"/>
      <x:c r="T156" s="26"/>
      <x:c r="U156" s="26"/>
      <x:c r="V156" s="26"/>
      <x:c r="W156" s="26"/>
      <x:c r="X156" s="26"/>
      <x:c r="Y156" s="26"/>
      <x:c r="Z156" s="26"/>
    </x:row>
    <x:row r="157">
      <x:c r="A157" s="26"/>
      <x:c r="B157" s="26"/>
      <x:c r="C157" s="26"/>
      <x:c r="D157" s="26"/>
      <x:c r="E157" s="26"/>
      <x:c r="F157" s="26"/>
      <x:c r="G157" s="26"/>
      <x:c r="H157" s="26"/>
      <x:c r="I157" s="26"/>
      <x:c r="J157" s="26"/>
      <x:c r="K157" s="26"/>
      <x:c r="L157" s="26"/>
      <x:c r="M157" s="26"/>
      <x:c r="N157" s="26"/>
      <x:c r="O157" s="26"/>
      <x:c r="P157" s="26"/>
      <x:c r="Q157" s="26"/>
      <x:c r="R157" s="26"/>
      <x:c r="S157" s="26"/>
      <x:c r="T157" s="26"/>
      <x:c r="U157" s="26"/>
      <x:c r="V157" s="26"/>
      <x:c r="W157" s="26"/>
      <x:c r="X157" s="26"/>
      <x:c r="Y157" s="26"/>
      <x:c r="Z157" s="26"/>
    </x:row>
    <x:row r="158">
      <x:c r="A158" s="26"/>
      <x:c r="B158" s="26"/>
      <x:c r="C158" s="26"/>
      <x:c r="D158" s="26"/>
      <x:c r="E158" s="26"/>
      <x:c r="F158" s="26"/>
      <x:c r="G158" s="26"/>
      <x:c r="H158" s="26"/>
      <x:c r="I158" s="26"/>
      <x:c r="J158" s="26"/>
      <x:c r="K158" s="26"/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</x:row>
    <x:row r="159">
      <x:c r="A159" s="26"/>
      <x:c r="B159" s="26"/>
      <x:c r="C159" s="26"/>
      <x:c r="D159" s="26"/>
      <x:c r="E159" s="26"/>
      <x:c r="F159" s="26"/>
      <x:c r="G159" s="26"/>
      <x:c r="H159" s="26"/>
      <x:c r="I159" s="26"/>
      <x:c r="J159" s="26"/>
      <x:c r="K159" s="26"/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</x:row>
    <x:row r="160">
      <x:c r="A160" s="26"/>
      <x:c r="B160" s="26"/>
      <x:c r="C160" s="26"/>
      <x:c r="D160" s="26"/>
      <x:c r="E160" s="26"/>
      <x:c r="F160" s="26"/>
      <x:c r="G160" s="26"/>
      <x:c r="H160" s="26"/>
      <x:c r="I160" s="26"/>
      <x:c r="J160" s="26"/>
      <x:c r="K160" s="26"/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</x:row>
    <x:row r="161">
      <x:c r="A161" s="26"/>
      <x:c r="B161" s="26"/>
      <x:c r="C161" s="26"/>
      <x:c r="D161" s="26"/>
      <x:c r="E161" s="26"/>
      <x:c r="F161" s="26"/>
      <x:c r="G161" s="26"/>
      <x:c r="H161" s="26"/>
      <x:c r="I161" s="26"/>
      <x:c r="J161" s="26"/>
      <x:c r="K161" s="26"/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</x:row>
    <x:row r="162">
      <x:c r="A162" s="26"/>
      <x:c r="B162" s="26"/>
      <x:c r="C162" s="26"/>
      <x:c r="D162" s="26"/>
      <x:c r="E162" s="26"/>
      <x:c r="F162" s="26"/>
      <x:c r="G162" s="26"/>
      <x:c r="H162" s="26"/>
      <x:c r="I162" s="26"/>
      <x:c r="J162" s="26"/>
      <x:c r="K162" s="26"/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</x:row>
    <x:row r="163">
      <x:c r="A163" s="26"/>
      <x:c r="B163" s="26"/>
      <x:c r="C163" s="26"/>
      <x:c r="D163" s="26"/>
      <x:c r="E163" s="26"/>
      <x:c r="F163" s="26"/>
      <x:c r="G163" s="26"/>
      <x:c r="H163" s="26"/>
      <x:c r="I163" s="26"/>
      <x:c r="J163" s="26"/>
      <x:c r="K163" s="26"/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</x:row>
    <x:row r="164">
      <x:c r="A164" s="26"/>
      <x:c r="B164" s="26"/>
      <x:c r="C164" s="26"/>
      <x:c r="D164" s="26"/>
      <x:c r="E164" s="26"/>
      <x:c r="F164" s="26"/>
      <x:c r="G164" s="26"/>
      <x:c r="H164" s="26"/>
      <x:c r="I164" s="26"/>
      <x:c r="J164" s="26"/>
      <x:c r="K164" s="26"/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</x:row>
    <x:row r="165">
      <x:c r="A165" s="26"/>
      <x:c r="B165" s="26"/>
      <x:c r="C165" s="26"/>
      <x:c r="D165" s="26"/>
      <x:c r="E165" s="26"/>
      <x:c r="F165" s="26"/>
      <x:c r="G165" s="26"/>
      <x:c r="H165" s="26"/>
      <x:c r="I165" s="26"/>
      <x:c r="J165" s="26"/>
      <x:c r="K165" s="26"/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</x:row>
    <x:row r="166">
      <x:c r="A166" s="26"/>
      <x:c r="B166" s="26"/>
      <x:c r="C166" s="26"/>
      <x:c r="D166" s="26"/>
      <x:c r="E166" s="26"/>
      <x:c r="F166" s="26"/>
      <x:c r="G166" s="26"/>
      <x:c r="H166" s="26"/>
      <x:c r="I166" s="26"/>
      <x:c r="J166" s="26"/>
      <x:c r="K166" s="26"/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</x:row>
    <x:row r="167">
      <x:c r="A167" s="26"/>
      <x:c r="B167" s="26"/>
      <x:c r="C167" s="26"/>
      <x:c r="D167" s="26"/>
      <x:c r="E167" s="26"/>
      <x:c r="F167" s="26"/>
      <x:c r="G167" s="26"/>
      <x:c r="H167" s="26"/>
      <x:c r="I167" s="26"/>
      <x:c r="J167" s="26"/>
      <x:c r="K167" s="26"/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</x:row>
    <x:row r="168">
      <x:c r="A168" s="26"/>
      <x:c r="B168" s="26"/>
      <x:c r="C168" s="26"/>
      <x:c r="D168" s="26"/>
      <x:c r="E168" s="26"/>
      <x:c r="F168" s="26"/>
      <x:c r="G168" s="26"/>
      <x:c r="H168" s="26"/>
      <x:c r="I168" s="26"/>
      <x:c r="J168" s="26"/>
      <x:c r="K168" s="26"/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</x:row>
    <x:row r="169">
      <x:c r="A169" s="26"/>
      <x:c r="B169" s="26"/>
      <x:c r="C169" s="26"/>
      <x:c r="D169" s="26"/>
      <x:c r="E169" s="26"/>
      <x:c r="F169" s="26"/>
      <x:c r="G169" s="26"/>
      <x:c r="H169" s="26"/>
      <x:c r="I169" s="26"/>
      <x:c r="J169" s="26"/>
      <x:c r="K169" s="26"/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</x:row>
    <x:row r="170">
      <x:c r="A170" s="26"/>
      <x:c r="B170" s="26"/>
      <x:c r="C170" s="26"/>
      <x:c r="D170" s="26"/>
      <x:c r="E170" s="26"/>
      <x:c r="F170" s="26"/>
      <x:c r="G170" s="26"/>
      <x:c r="H170" s="26"/>
      <x:c r="I170" s="26"/>
      <x:c r="J170" s="26"/>
      <x:c r="K170" s="26"/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</x:row>
    <x:row r="171">
      <x:c r="A171" s="26"/>
      <x:c r="B171" s="26"/>
      <x:c r="C171" s="26"/>
      <x:c r="D171" s="26"/>
      <x:c r="E171" s="26"/>
      <x:c r="F171" s="26"/>
      <x:c r="G171" s="26"/>
      <x:c r="H171" s="26"/>
      <x:c r="I171" s="26"/>
      <x:c r="J171" s="26"/>
      <x:c r="K171" s="26"/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</x:row>
    <x:row r="172">
      <x:c r="A172" s="26"/>
      <x:c r="B172" s="26"/>
      <x:c r="C172" s="26"/>
      <x:c r="D172" s="26"/>
      <x:c r="E172" s="26"/>
      <x:c r="F172" s="26"/>
      <x:c r="G172" s="26"/>
      <x:c r="H172" s="26"/>
      <x:c r="I172" s="26"/>
      <x:c r="J172" s="26"/>
      <x:c r="K172" s="26"/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</x:row>
    <x:row r="173">
      <x:c r="A173" s="26"/>
      <x:c r="B173" s="26"/>
      <x:c r="C173" s="26"/>
      <x:c r="D173" s="26"/>
      <x:c r="E173" s="26"/>
      <x:c r="F173" s="26"/>
      <x:c r="G173" s="26"/>
      <x:c r="H173" s="26"/>
      <x:c r="I173" s="26"/>
      <x:c r="J173" s="26"/>
      <x:c r="K173" s="26"/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</x:row>
    <x:row r="174">
      <x:c r="A174" s="26"/>
      <x:c r="B174" s="26"/>
      <x:c r="C174" s="26"/>
      <x:c r="D174" s="26"/>
      <x:c r="E174" s="26"/>
      <x:c r="F174" s="26"/>
      <x:c r="G174" s="26"/>
      <x:c r="H174" s="26"/>
      <x:c r="I174" s="26"/>
      <x:c r="J174" s="26"/>
      <x:c r="K174" s="26"/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</x:row>
    <x:row r="175">
      <x:c r="A175" s="26"/>
      <x:c r="B175" s="26"/>
      <x:c r="C175" s="26"/>
      <x:c r="D175" s="26"/>
      <x:c r="E175" s="26"/>
      <x:c r="F175" s="26"/>
      <x:c r="G175" s="26"/>
      <x:c r="H175" s="26"/>
      <x:c r="I175" s="26"/>
      <x:c r="J175" s="26"/>
      <x:c r="K175" s="26"/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</x:row>
    <x:row r="176">
      <x:c r="A176" s="26"/>
      <x:c r="B176" s="26"/>
      <x:c r="C176" s="26"/>
      <x:c r="D176" s="26"/>
      <x:c r="E176" s="26"/>
      <x:c r="F176" s="26"/>
      <x:c r="G176" s="26"/>
      <x:c r="H176" s="26"/>
      <x:c r="I176" s="26"/>
      <x:c r="J176" s="26"/>
      <x:c r="K176" s="26"/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</x:row>
    <x:row r="177">
      <x:c r="A177" s="26"/>
      <x:c r="B177" s="26"/>
      <x:c r="C177" s="26"/>
      <x:c r="D177" s="26"/>
      <x:c r="E177" s="26"/>
      <x:c r="F177" s="26"/>
      <x:c r="G177" s="26"/>
      <x:c r="H177" s="26"/>
      <x:c r="I177" s="26"/>
      <x:c r="J177" s="26"/>
      <x:c r="K177" s="26"/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</x:row>
    <x:row r="178">
      <x:c r="A178" s="26"/>
      <x:c r="B178" s="26"/>
      <x:c r="C178" s="26"/>
      <x:c r="D178" s="26"/>
      <x:c r="E178" s="26"/>
      <x:c r="F178" s="26"/>
      <x:c r="G178" s="26"/>
      <x:c r="H178" s="26"/>
      <x:c r="I178" s="26"/>
      <x:c r="J178" s="26"/>
      <x:c r="K178" s="26"/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</x:row>
    <x:row r="179">
      <x:c r="A179" s="26"/>
      <x:c r="B179" s="26"/>
      <x:c r="C179" s="26"/>
      <x:c r="D179" s="26"/>
      <x:c r="E179" s="26"/>
      <x:c r="F179" s="26"/>
      <x:c r="G179" s="26"/>
      <x:c r="H179" s="26"/>
      <x:c r="I179" s="26"/>
      <x:c r="J179" s="26"/>
      <x:c r="K179" s="26"/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</x:row>
    <x:row r="180">
      <x:c r="A180" s="26"/>
      <x:c r="B180" s="26"/>
      <x:c r="C180" s="26"/>
      <x:c r="D180" s="26"/>
      <x:c r="E180" s="26"/>
      <x:c r="F180" s="26"/>
      <x:c r="G180" s="26"/>
      <x:c r="H180" s="26"/>
      <x:c r="I180" s="26"/>
      <x:c r="J180" s="26"/>
      <x:c r="K180" s="26"/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</x:row>
    <x:row r="181">
      <x:c r="A181" s="26"/>
      <x:c r="B181" s="26"/>
      <x:c r="C181" s="26"/>
      <x:c r="D181" s="26"/>
      <x:c r="E181" s="26"/>
      <x:c r="F181" s="26"/>
      <x:c r="G181" s="26"/>
      <x:c r="H181" s="26"/>
      <x:c r="I181" s="26"/>
      <x:c r="J181" s="26"/>
      <x:c r="K181" s="26"/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</x:row>
    <x:row r="182">
      <x:c r="A182" s="26"/>
      <x:c r="B182" s="26"/>
      <x:c r="C182" s="26"/>
      <x:c r="D182" s="26"/>
      <x:c r="E182" s="26"/>
      <x:c r="F182" s="26"/>
      <x:c r="G182" s="26"/>
      <x:c r="H182" s="26"/>
      <x:c r="I182" s="26"/>
      <x:c r="J182" s="26"/>
      <x:c r="K182" s="26"/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</x:row>
    <x:row r="183">
      <x:c r="A183" s="26"/>
      <x:c r="B183" s="26"/>
      <x:c r="C183" s="26"/>
      <x:c r="D183" s="26"/>
      <x:c r="E183" s="26"/>
      <x:c r="F183" s="26"/>
      <x:c r="G183" s="26"/>
      <x:c r="H183" s="26"/>
      <x:c r="I183" s="26"/>
      <x:c r="J183" s="26"/>
      <x:c r="K183" s="26"/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</x:row>
    <x:row r="184">
      <x:c r="A184" s="26"/>
      <x:c r="B184" s="26"/>
      <x:c r="C184" s="26"/>
      <x:c r="D184" s="26"/>
      <x:c r="E184" s="26"/>
      <x:c r="F184" s="26"/>
      <x:c r="G184" s="26"/>
      <x:c r="H184" s="26"/>
      <x:c r="I184" s="26"/>
      <x:c r="J184" s="26"/>
      <x:c r="K184" s="26"/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</x:row>
    <x:row r="185">
      <x:c r="A185" s="26"/>
      <x:c r="B185" s="26"/>
      <x:c r="C185" s="26"/>
      <x:c r="D185" s="26"/>
      <x:c r="E185" s="26"/>
      <x:c r="F185" s="26"/>
      <x:c r="G185" s="26"/>
      <x:c r="H185" s="26"/>
      <x:c r="I185" s="26"/>
      <x:c r="J185" s="26"/>
      <x:c r="K185" s="26"/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</x:row>
    <x:row r="186">
      <x:c r="A186" s="26"/>
      <x:c r="B186" s="26"/>
      <x:c r="C186" s="26"/>
      <x:c r="D186" s="26"/>
      <x:c r="E186" s="26"/>
      <x:c r="F186" s="26"/>
      <x:c r="G186" s="26"/>
      <x:c r="H186" s="26"/>
      <x:c r="I186" s="26"/>
      <x:c r="J186" s="26"/>
      <x:c r="K186" s="26"/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</x:row>
    <x:row r="187">
      <x:c r="A187" s="26"/>
      <x:c r="B187" s="26"/>
      <x:c r="C187" s="26"/>
      <x:c r="D187" s="26"/>
      <x:c r="E187" s="26"/>
      <x:c r="F187" s="26"/>
      <x:c r="G187" s="26"/>
      <x:c r="H187" s="26"/>
      <x:c r="I187" s="26"/>
      <x:c r="J187" s="26"/>
      <x:c r="K187" s="26"/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</x:row>
    <x:row r="188">
      <x:c r="A188" s="26"/>
      <x:c r="B188" s="26"/>
      <x:c r="C188" s="26"/>
      <x:c r="D188" s="26"/>
      <x:c r="E188" s="26"/>
      <x:c r="F188" s="26"/>
      <x:c r="G188" s="26"/>
      <x:c r="H188" s="26"/>
      <x:c r="I188" s="26"/>
      <x:c r="J188" s="26"/>
      <x:c r="K188" s="26"/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</x:row>
    <x:row r="189">
      <x:c r="A189" s="26"/>
      <x:c r="B189" s="26"/>
      <x:c r="C189" s="26"/>
      <x:c r="D189" s="26"/>
      <x:c r="E189" s="26"/>
      <x:c r="F189" s="26"/>
      <x:c r="G189" s="26"/>
      <x:c r="H189" s="26"/>
      <x:c r="I189" s="26"/>
      <x:c r="J189" s="26"/>
      <x:c r="K189" s="26"/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</x:row>
    <x:row r="190">
      <x:c r="A190" s="26"/>
      <x:c r="B190" s="26"/>
      <x:c r="C190" s="26"/>
      <x:c r="D190" s="26"/>
      <x:c r="E190" s="26"/>
      <x:c r="F190" s="26"/>
      <x:c r="G190" s="26"/>
      <x:c r="H190" s="26"/>
      <x:c r="I190" s="26"/>
      <x:c r="J190" s="26"/>
      <x:c r="K190" s="26"/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</x:row>
    <x:row r="191">
      <x:c r="A191" s="26"/>
      <x:c r="B191" s="26"/>
      <x:c r="C191" s="26"/>
      <x:c r="D191" s="26"/>
      <x:c r="E191" s="26"/>
      <x:c r="F191" s="26"/>
      <x:c r="G191" s="26"/>
      <x:c r="H191" s="26"/>
      <x:c r="I191" s="26"/>
      <x:c r="J191" s="26"/>
      <x:c r="K191" s="26"/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</x:row>
    <x:row r="192">
      <x:c r="A192" s="26"/>
      <x:c r="B192" s="26"/>
      <x:c r="C192" s="26"/>
      <x:c r="D192" s="26"/>
      <x:c r="E192" s="26"/>
      <x:c r="F192" s="26"/>
      <x:c r="G192" s="26"/>
      <x:c r="H192" s="26"/>
      <x:c r="I192" s="26"/>
      <x:c r="J192" s="26"/>
      <x:c r="K192" s="26"/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</x:row>
    <x:row r="193">
      <x:c r="A193" s="26"/>
      <x:c r="B193" s="26"/>
      <x:c r="C193" s="26"/>
      <x:c r="D193" s="26"/>
      <x:c r="E193" s="26"/>
      <x:c r="F193" s="26"/>
      <x:c r="G193" s="26"/>
      <x:c r="H193" s="26"/>
      <x:c r="I193" s="26"/>
      <x:c r="J193" s="26"/>
      <x:c r="K193" s="26"/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</x:row>
    <x:row r="194">
      <x:c r="A194" s="26"/>
      <x:c r="B194" s="26"/>
      <x:c r="C194" s="26"/>
      <x:c r="D194" s="26"/>
      <x:c r="E194" s="26"/>
      <x:c r="F194" s="26"/>
      <x:c r="G194" s="26"/>
      <x:c r="H194" s="26"/>
      <x:c r="I194" s="26"/>
      <x:c r="J194" s="26"/>
      <x:c r="K194" s="26"/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</x:row>
    <x:row r="195">
      <x:c r="A195" s="26"/>
      <x:c r="B195" s="26"/>
      <x:c r="C195" s="26"/>
      <x:c r="D195" s="26"/>
      <x:c r="E195" s="26"/>
      <x:c r="F195" s="26"/>
      <x:c r="G195" s="26"/>
      <x:c r="H195" s="26"/>
      <x:c r="I195" s="26"/>
      <x:c r="J195" s="26"/>
      <x:c r="K195" s="26"/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</x:row>
    <x:row r="196">
      <x:c r="A196" s="26"/>
      <x:c r="B196" s="26"/>
      <x:c r="C196" s="26"/>
      <x:c r="D196" s="26"/>
      <x:c r="E196" s="26"/>
      <x:c r="F196" s="26"/>
      <x:c r="G196" s="26"/>
      <x:c r="H196" s="26"/>
      <x:c r="I196" s="26"/>
      <x:c r="J196" s="26"/>
      <x:c r="K196" s="26"/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</x:row>
    <x:row r="197">
      <x:c r="A197" s="26"/>
      <x:c r="B197" s="26"/>
      <x:c r="C197" s="26"/>
      <x:c r="D197" s="26"/>
      <x:c r="E197" s="26"/>
      <x:c r="F197" s="26"/>
      <x:c r="G197" s="26"/>
      <x:c r="H197" s="26"/>
      <x:c r="I197" s="26"/>
      <x:c r="J197" s="26"/>
      <x:c r="K197" s="26"/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</x:row>
    <x:row r="198">
      <x:c r="A198" s="26"/>
      <x:c r="B198" s="26"/>
      <x:c r="C198" s="26"/>
      <x:c r="D198" s="26"/>
      <x:c r="E198" s="26"/>
      <x:c r="F198" s="26"/>
      <x:c r="G198" s="26"/>
      <x:c r="H198" s="26"/>
      <x:c r="I198" s="26"/>
      <x:c r="J198" s="26"/>
      <x:c r="K198" s="26"/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</x:row>
    <x:row r="199">
      <x:c r="A199" s="26"/>
      <x:c r="B199" s="26"/>
      <x:c r="C199" s="26"/>
      <x:c r="D199" s="26"/>
      <x:c r="E199" s="26"/>
      <x:c r="F199" s="26"/>
      <x:c r="G199" s="26"/>
      <x:c r="H199" s="26"/>
      <x:c r="I199" s="26"/>
      <x:c r="J199" s="26"/>
      <x:c r="K199" s="26"/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</x:row>
    <x:row r="200">
      <x:c r="A200" s="26"/>
      <x:c r="B200" s="26"/>
      <x:c r="C200" s="26"/>
      <x:c r="D200" s="26"/>
      <x:c r="E200" s="26"/>
      <x:c r="F200" s="26"/>
      <x:c r="G200" s="26"/>
      <x:c r="H200" s="26"/>
      <x:c r="I200" s="26"/>
      <x:c r="J200" s="26"/>
      <x:c r="K200" s="26"/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d69d9c03dce34de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28" hidden="0" customWidth="1"/>
    <x:col min="6" max="6" width="28" hidden="0" customWidth="1"/>
    <x:col min="7" max="7" width="28" hidden="0" customWidth="1"/>
    <x:col min="8" max="8" width="19" hidden="0" customWidth="1"/>
  </x:cols>
  <x:sheetData>
    <x:row r="1" ht="28" customHeight="1">
      <x:c r="A1" s="50" t="str">
        <x:v>Tandora Unit Economics Dashboard</x:v>
      </x:c>
      <x:c r="B1" s="50"/>
      <x:c r="C1" s="50"/>
      <x:c r="D1" s="50"/>
      <x:c r="E1" s="50"/>
      <x:c r="F1" s="50"/>
      <x:c r="G1" s="50"/>
      <x:c r="H1" s="50"/>
      <x:c r="I1" s="26"/>
      <x:c r="J1" s="26"/>
      <x:c r="K1" s="26"/>
      <x:c r="L1" s="26"/>
      <x:c r="M1" s="26"/>
      <x:c r="N1" s="26"/>
      <x:c r="O1" s="26"/>
      <x:c r="P1" s="26"/>
      <x:c r="Q1" s="26"/>
      <x:c r="R1" s="26"/>
      <x:c r="S1" s="26"/>
      <x:c r="T1" s="26"/>
      <x:c r="U1" s="26"/>
      <x:c r="V1" s="26"/>
      <x:c r="W1" s="26"/>
      <x:c r="X1" s="26"/>
      <x:c r="Y1" s="26"/>
      <x:c r="Z1" s="26"/>
    </x:row>
    <x:row r="2">
      <x:c r="A2" s="26"/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</x:row>
    <x:row r="3">
      <x:c r="A3" s="14" t="str">
        <x:v>KPI</x:v>
      </x:c>
      <x:c r="B3" s="14" t="str">
        <x:v>Value</x:v>
      </x:c>
      <x:c r="C3" s="14" t="str">
        <x:v>Unit</x:v>
      </x:c>
      <x:c r="D3" s="14" t="str">
        <x:v>Status</x:v>
      </x:c>
      <x:c r="E3" s="14" t="str">
        <x:v>Target / Warning</x:v>
      </x:c>
      <x:c r="F3" s="14" t="str">
        <x:v>Formula source</x:v>
      </x:c>
      <x:c r="G3" s="14" t="str">
        <x:v>Owner action</x:v>
      </x:c>
      <x:c r="H3" s="14" t="str">
        <x:v>Priority</x:v>
      </x:c>
      <x:c r="I3" s="26"/>
      <x:c r="J3" s="26"/>
      <x:c r="K3" s="26"/>
      <x:c r="L3" s="26"/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</x:row>
    <x:row r="4">
      <x:c r="A4" s="26" t="str">
        <x:v>Selected scenario</x:v>
      </x:c>
      <x:c r="B4" s="26" t="str">
        <x:f>Assumptions!$C$4</x:f>
        <x:v>Base</x:v>
      </x:c>
      <x:c r="C4" s="26" t="str">
        <x:v>scenario</x:v>
      </x:c>
      <x:c r="D4" s="26" t="str">
        <x:v>manual</x:v>
      </x:c>
      <x:c r="E4" s="26" t="str">
        <x:v>Use scenario switch in Assumptions!C4</x:v>
      </x:c>
      <x:c r="F4" s="26" t="str">
        <x:v>Assumptions</x:v>
      </x:c>
      <x:c r="G4" s="26" t="str">
        <x:v>Review monthly</x:v>
      </x:c>
      <x:c r="H4" s="26" t="str">
        <x:v>High</x:v>
      </x:c>
      <x:c r="I4" s="26"/>
      <x:c r="J4" s="26"/>
      <x:c r="K4" s="26"/>
      <x:c r="L4" s="26"/>
      <x:c r="M4" s="26"/>
      <x:c r="N4" s="26"/>
      <x:c r="O4" s="26"/>
      <x:c r="P4" s="26"/>
      <x:c r="Q4" s="26"/>
      <x:c r="R4" s="26"/>
      <x:c r="S4" s="26"/>
      <x:c r="T4" s="26"/>
      <x:c r="U4" s="26"/>
      <x:c r="V4" s="26"/>
      <x:c r="W4" s="26"/>
      <x:c r="X4" s="26"/>
      <x:c r="Y4" s="26"/>
      <x:c r="Z4" s="26"/>
    </x:row>
    <x:row r="5">
      <x:c r="A5" s="26" t="str">
        <x:v>Active Paid Users</x:v>
      </x:c>
      <x:c r="B5" s="26" t="n">
        <x:f>Unit_Economics!$C$8</x:f>
        <x:v>142.55999999999997</x:v>
      </x:c>
      <x:c r="C5" s="26" t="str">
        <x:v>users</x:v>
      </x:c>
      <x:c r="D5" s="26" t="str">
        <x:f>IF(B5&gt;=Unit_Economics!$C$24,"OK","Below break-even")</x:f>
        <x:v>OK</x:v>
      </x:c>
      <x:c r="E5" s="26" t="str">
        <x:v>Reach break-even active users</x:v>
      </x:c>
      <x:c r="F5" s="26" t="str">
        <x:v>Funnel/Revenue</x:v>
      </x:c>
      <x:c r="G5" s="26" t="str">
        <x:v>Increase activation/paid conversion</x:v>
      </x:c>
      <x:c r="H5" s="26" t="str">
        <x:v>High</x:v>
      </x:c>
      <x:c r="I5" s="26"/>
      <x:c r="J5" s="26"/>
      <x:c r="K5" s="26"/>
      <x:c r="L5" s="26"/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>
      <x:c r="A6" s="26" t="str">
        <x:v>MRR / Recognized Revenue</x:v>
      </x:c>
      <x:c r="B6" s="58" t="n">
        <x:f>Unit_Economics!$C$12</x:f>
        <x:v>5383920.959999999</x:v>
      </x:c>
      <x:c r="C6" s="26" t="str">
        <x:v>RUB/month</x:v>
      </x:c>
      <x:c r="D6" s="26" t="str">
        <x:f>IF(B6&gt;0,"OK","No revenue")</x:f>
        <x:v>OK</x:v>
      </x:c>
      <x:c r="E6" s="26" t="str">
        <x:v>Grow monthly recognized revenue</x:v>
      </x:c>
      <x:c r="F6" s="26" t="str">
        <x:v>Revenue</x:v>
      </x:c>
      <x:c r="G6" s="26" t="str">
        <x:v>Validate pricing</x:v>
      </x:c>
      <x:c r="H6" s="26" t="str">
        <x:v>High</x:v>
      </x:c>
      <x:c r="I6" s="26"/>
      <x:c r="J6" s="26"/>
      <x:c r="K6" s="26"/>
      <x:c r="L6" s="26"/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/>
      <x:c r="X6" s="26"/>
      <x:c r="Y6" s="26"/>
      <x:c r="Z6" s="26"/>
    </x:row>
    <x:row r="7">
      <x:c r="A7" s="26" t="str">
        <x:v>Gross Margin</x:v>
      </x:c>
      <x:c r="B7" s="54" t="n">
        <x:f>Unit_Economics!$C$14</x:f>
        <x:v>0.9530225599745803</x:v>
      </x:c>
      <x:c r="C7" s="26" t="str">
        <x:v>%</x:v>
      </x:c>
      <x:c r="D7" s="26" t="str">
        <x:f>IF(B7&gt;=0.7,"OK","Low margin")</x:f>
        <x:v>OK</x:v>
      </x:c>
      <x:c r="E7" s="26" t="str">
        <x:v>&gt;=70%</x:v>
      </x:c>
      <x:c r="F7" s="26" t="str">
        <x:v>Costs</x:v>
      </x:c>
      <x:c r="G7" s="26" t="str">
        <x:v>Reduce support/COGS</x:v>
      </x:c>
      <x:c r="H7" s="26" t="str">
        <x:v>High</x:v>
      </x:c>
      <x:c r="I7" s="26"/>
      <x:c r="J7" s="26"/>
      <x:c r="K7" s="26"/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26"/>
      <x:c r="Z7" s="26"/>
    </x:row>
    <x:row r="8">
      <x:c r="A8" s="26" t="str">
        <x:v>Contribution Margin</x:v>
      </x:c>
      <x:c r="B8" s="54" t="n">
        <x:f>Unit_Economics!$C$15</x:f>
        <x:v>0.927019206463239</x:v>
      </x:c>
      <x:c r="C8" s="26" t="str">
        <x:v>%</x:v>
      </x:c>
      <x:c r="D8" s="26" t="str">
        <x:f>IF(B8&gt;0,"OK","Negative")</x:f>
        <x:v>OK</x:v>
      </x:c>
      <x:c r="E8" s="26" t="str">
        <x:v>&gt;0% after acquisition</x:v>
      </x:c>
      <x:c r="F8" s="26" t="str">
        <x:v>Costs</x:v>
      </x:c>
      <x:c r="G8" s="26" t="str">
        <x:v>Lower CAC / improve pricing</x:v>
      </x:c>
      <x:c r="H8" s="26" t="str">
        <x:v>High</x:v>
      </x:c>
      <x:c r="I8" s="26"/>
      <x:c r="J8" s="26"/>
      <x:c r="K8" s="26"/>
      <x:c r="L8" s="26"/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/>
      <x:c r="X8" s="26"/>
      <x:c r="Y8" s="26"/>
      <x:c r="Z8" s="26"/>
    </x:row>
    <x:row r="9">
      <x:c r="A9" s="26" t="str">
        <x:v>CAC</x:v>
      </x:c>
      <x:c r="B9" s="53" t="n">
        <x:f>Unit_Economics!$C$16</x:f>
        <x:v>23569.023569023564</x:v>
      </x:c>
      <x:c r="C9" s="26" t="str">
        <x:v>RUB/customer</x:v>
      </x:c>
      <x:c r="D9" s="26" t="str">
        <x:f>IF(B9&lt;30000,"OK","High CAC")</x:f>
        <x:v>OK</x:v>
      </x:c>
      <x:c r="E9" s="26" t="str">
        <x:v>&lt; 30,000 RUB first target</x:v>
      </x:c>
      <x:c r="F9" s="26" t="str">
        <x:v>Costs/Funnel</x:v>
      </x:c>
      <x:c r="G9" s="26" t="str">
        <x:v>Shift to warm/referral channels</x:v>
      </x:c>
      <x:c r="H9" s="26" t="str">
        <x:v>Medium</x:v>
      </x:c>
      <x:c r="I9" s="26"/>
      <x:c r="J9" s="26"/>
      <x:c r="K9" s="26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26"/>
      <x:c r="Z9" s="26"/>
    </x:row>
    <x:row r="10">
      <x:c r="A10" s="26" t="str">
        <x:v>LTV</x:v>
      </x:c>
      <x:c r="B10" s="53" t="n">
        <x:f>Unit_Economics!$C$19</x:f>
        <x:v>719836.9999999999</x:v>
      </x:c>
      <x:c r="C10" s="26" t="str">
        <x:v>RUB/customer</x:v>
      </x:c>
      <x:c r="D10" s="26" t="str">
        <x:f>IF(B10&gt;0,"OK","No LTV")</x:f>
        <x:v>OK</x:v>
      </x:c>
      <x:c r="E10" s="26" t="str">
        <x:v>Increase via retention and ARPPU</x:v>
      </x:c>
      <x:c r="F10" s="26" t="str">
        <x:v>Unit_Economics</x:v>
      </x:c>
      <x:c r="G10" s="26" t="str">
        <x:v>Improve onboarding and annual/season plans</x:v>
      </x:c>
      <x:c r="H10" s="26" t="str">
        <x:v>High</x:v>
      </x:c>
      <x:c r="I10" s="26"/>
      <x:c r="J10" s="26"/>
      <x:c r="K10" s="26"/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</x:row>
    <x:row r="11">
      <x:c r="A11" s="26" t="str">
        <x:v>LTV/CAC</x:v>
      </x:c>
      <x:c r="B11" s="60" t="n">
        <x:f>Unit_Economics!$C$20</x:f>
        <x:v>30.541655571428574</x:v>
      </x:c>
      <x:c r="C11" s="26" t="str">
        <x:v>x</x:v>
      </x:c>
      <x:c r="D11" s="26" t="str">
        <x:f>IF(B11&gt;=3,"Healthy",IF(B11&gt;=1,"Weak","Danger"))</x:f>
        <x:v>Healthy</x:v>
      </x:c>
      <x:c r="E11" s="26" t="str">
        <x:v>&gt;3x healthy</x:v>
      </x:c>
      <x:c r="F11" s="26" t="str">
        <x:v>Unit_Economics</x:v>
      </x:c>
      <x:c r="G11" s="26" t="str">
        <x:v>Fix CAC/retention/pricing</x:v>
      </x:c>
      <x:c r="H11" s="26" t="str">
        <x:v>High</x:v>
      </x:c>
      <x:c r="I11" s="26"/>
      <x:c r="J11" s="26"/>
      <x:c r="K11" s="26"/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</x:row>
    <x:row r="12">
      <x:c r="A12" s="26" t="str">
        <x:v>CAC Payback</x:v>
      </x:c>
      <x:c r="B12" s="61" t="n">
        <x:f>Unit_Economics!$C$21</x:f>
        <x:v>0.6548433483975835</x:v>
      </x:c>
      <x:c r="C12" s="26" t="str">
        <x:v>months</x:v>
      </x:c>
      <x:c r="D12" s="26" t="str">
        <x:f>IF(B12&lt;=12,"OK",IF(B12&lt;=18,"Watch","Bad"))</x:f>
        <x:v>OK</x:v>
      </x:c>
      <x:c r="E12" s="26" t="str">
        <x:v>&lt;12 months preferred</x:v>
      </x:c>
      <x:c r="F12" s="26" t="str">
        <x:v>Unit_Economics</x:v>
      </x:c>
      <x:c r="G12" s="26" t="str">
        <x:v>Improve GP/customer</x:v>
      </x:c>
      <x:c r="H12" s="26" t="str">
        <x:v>High</x:v>
      </x:c>
      <x:c r="I12" s="26"/>
      <x:c r="J12" s="26"/>
      <x:c r="K12" s="26"/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/>
      <x:c r="X12" s="26"/>
      <x:c r="Y12" s="26"/>
      <x:c r="Z12" s="26"/>
    </x:row>
    <x:row r="13">
      <x:c r="A13" s="26" t="str">
        <x:v>Monthly Churn</x:v>
      </x:c>
      <x:c r="B13" s="54" t="n">
        <x:f>Unit_Economics!$C$17</x:f>
        <x:v>0.05</x:v>
      </x:c>
      <x:c r="C13" s="26" t="str">
        <x:v>%</x:v>
      </x:c>
      <x:c r="D13" s="26" t="str">
        <x:f>IF(B13&lt;=0.04,"OK",IF(B13&lt;=0.07,"Watch","High"))</x:f>
        <x:v>Watch</x:v>
      </x:c>
      <x:c r="E13" s="26" t="str">
        <x:v>&lt;=4–5% for early SMB SaaS</x:v>
      </x:c>
      <x:c r="F13" s="26" t="str">
        <x:v>Scenarios</x:v>
      </x:c>
      <x:c r="G13" s="26" t="str">
        <x:v>Retention interviews</x:v>
      </x:c>
      <x:c r="H13" s="26" t="str">
        <x:v>High</x:v>
      </x:c>
      <x:c r="I13" s="26"/>
      <x:c r="J13" s="26"/>
      <x:c r="K13" s="26"/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</x:row>
    <x:row r="14">
      <x:c r="A14" s="26" t="str">
        <x:v>Burn Rate</x:v>
      </x:c>
      <x:c r="B14" s="26" t="n">
        <x:f>Unit_Economics!$C$22</x:f>
        <x:v>0</x:v>
      </x:c>
      <x:c r="C14" s="26" t="str">
        <x:v>RUB/month</x:v>
      </x:c>
      <x:c r="D14" s="26" t="str">
        <x:f>IF(B14=0,"No burn","Burning cash")</x:f>
        <x:v>No burn</x:v>
      </x:c>
      <x:c r="E14" s="26" t="str">
        <x:v>Reduce until break-even</x:v>
      </x:c>
      <x:c r="F14" s="26" t="str">
        <x:v>Costs</x:v>
      </x:c>
      <x:c r="G14" s="26" t="str">
        <x:v>Prioritize sales/product only</x:v>
      </x:c>
      <x:c r="H14" s="26" t="str">
        <x:v>Medium</x:v>
      </x:c>
      <x:c r="I14" s="26"/>
      <x:c r="J14" s="26"/>
      <x:c r="K14" s="26"/>
      <x:c r="L14" s="26"/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/>
      <x:c r="X14" s="26"/>
      <x:c r="Y14" s="26"/>
      <x:c r="Z14" s="26"/>
    </x:row>
    <x:row r="15">
      <x:c r="A15" s="26" t="str">
        <x:v>Runway</x:v>
      </x:c>
      <x:c r="B15" s="61" t="n">
        <x:f>Unit_Economics!$C$23</x:f>
        <x:v>999</x:v>
      </x:c>
      <x:c r="C15" s="26" t="str">
        <x:v>months</x:v>
      </x:c>
      <x:c r="D15" s="26" t="str">
        <x:f>IF(B15&gt;=12,"OK",IF(B15&gt;=6,"Watch","Danger"))</x:f>
        <x:v>OK</x:v>
      </x:c>
      <x:c r="E15" s="26" t="str">
        <x:v>&gt;=12 months ideal</x:v>
      </x:c>
      <x:c r="F15" s="26" t="str">
        <x:v>Costs/Assumptions</x:v>
      </x:c>
      <x:c r="G15" s="26" t="str">
        <x:v>Cut scope or raise capital</x:v>
      </x:c>
      <x:c r="H15" s="26" t="str">
        <x:v>High</x:v>
      </x:c>
      <x:c r="I15" s="26"/>
      <x:c r="J15" s="26"/>
      <x:c r="K15" s="26"/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</x:row>
    <x:row r="16">
      <x:c r="A16" s="26" t="str">
        <x:v>Break-even Users</x:v>
      </x:c>
      <x:c r="B16" s="26" t="n">
        <x:f>Unit_Economics!$C$24</x:f>
        <x:v>12.224989824085176</x:v>
      </x:c>
      <x:c r="C16" s="26" t="str">
        <x:v>paid users</x:v>
      </x:c>
      <x:c r="D16" s="26" t="str">
        <x:f>IF(B16&lt;100,"Plausible","Hard")</x:f>
        <x:v>Plausible</x:v>
      </x:c>
      <x:c r="E16" s="26" t="str">
        <x:v>Must be reachable in niche</x:v>
      </x:c>
      <x:c r="F16" s="26" t="str">
        <x:v>Unit_Economics</x:v>
      </x:c>
      <x:c r="G16" s="26" t="str">
        <x:v>Validate market size and channels</x:v>
      </x:c>
      <x:c r="H16" s="26" t="str">
        <x:v>High</x:v>
      </x:c>
      <x:c r="I16" s="26"/>
      <x:c r="J16" s="26"/>
      <x:c r="K16" s="26"/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</x:row>
    <x:row r="17">
      <x:c r="A17" s="26" t="str">
        <x:v>Break-even Month</x:v>
      </x:c>
      <x:c r="B17" s="52" t="n">
        <x:f>Unit_Economics!$C$25</x:f>
        <x:v>46235</x:v>
      </x:c>
      <x:c r="C17" s="26" t="str">
        <x:v>month</x:v>
      </x:c>
      <x:c r="D17" s="26" t="str">
        <x:f>IF(B17="Not within forecast","Not reached","Reached")</x:f>
        <x:v>Reached</x:v>
      </x:c>
      <x:c r="E17" s="26" t="str">
        <x:v>Need within 12–18 months</x:v>
      </x:c>
      <x:c r="F17" s="26" t="str">
        <x:v>Costs</x:v>
      </x:c>
      <x:c r="G17" s="26" t="str">
        <x:v>Improve funnel/economics</x:v>
      </x:c>
      <x:c r="H17" s="26" t="str">
        <x:v>High</x:v>
      </x:c>
      <x:c r="I17" s="26"/>
      <x:c r="J17" s="26"/>
      <x:c r="K17" s="26"/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</x:row>
    <x:row r="18">
      <x:c r="A18" s="26"/>
      <x:c r="B18" s="26"/>
      <x:c r="C18" s="26"/>
      <x:c r="D18" s="26"/>
      <x:c r="E18" s="26"/>
      <x:c r="F18" s="26"/>
      <x:c r="G18" s="26"/>
      <x:c r="H18" s="26"/>
      <x:c r="I18" s="26"/>
      <x:c r="J18" s="26"/>
      <x:c r="K18" s="26"/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</x:row>
    <x:row r="19">
      <x:c r="A19" s="26"/>
      <x:c r="B19" s="26"/>
      <x:c r="C19" s="26"/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>
      <x:c r="A20" s="26"/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>
      <x:c r="A21" s="26"/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>
      <x:c r="A22" s="26"/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>
      <x:c r="A23" s="26"/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>
      <x:c r="A24" s="26"/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>
      <x:c r="A25" s="26"/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>
      <x:c r="A26" s="26"/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>
      <x:c r="A27" s="26"/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>
      <x:c r="A28" s="26"/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>
      <x:c r="A29" s="26"/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>
      <x:c r="A30" s="26"/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>
      <x:c r="A31" s="26"/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>
      <x:c r="A32" s="26"/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>
      <x:c r="A33" s="26"/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</x:row>
    <x:row r="34">
      <x:c r="A34" s="26"/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</x:row>
    <x:row r="35">
      <x:c r="A35" s="26"/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</x:row>
    <x:row r="36">
      <x:c r="A36" s="26"/>
      <x:c r="B36" s="26"/>
      <x:c r="C36" s="26"/>
      <x:c r="D36" s="26"/>
      <x:c r="E36" s="26"/>
      <x:c r="F36" s="26"/>
      <x:c r="G36" s="26"/>
      <x:c r="H36" s="26"/>
      <x:c r="I36" s="26"/>
      <x:c r="J36" s="26"/>
      <x:c r="K36" s="26"/>
      <x:c r="L36" s="26"/>
      <x:c r="M36" s="26"/>
      <x:c r="N36" s="26"/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</x:row>
    <x:row r="37">
      <x:c r="A37" s="26"/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  <x:c r="L37" s="26"/>
      <x:c r="M37" s="26"/>
      <x:c r="N37" s="26"/>
      <x:c r="O37" s="26"/>
      <x:c r="P37" s="26"/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</x:row>
    <x:row r="38">
      <x:c r="A38" s="26"/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</x:row>
    <x:row r="39">
      <x:c r="A39" s="26"/>
      <x:c r="B39" s="26"/>
      <x:c r="C39" s="26"/>
      <x:c r="D39" s="26"/>
      <x:c r="E39" s="26"/>
      <x:c r="F39" s="26"/>
      <x:c r="G39" s="26"/>
      <x:c r="H39" s="26"/>
      <x:c r="I39" s="26"/>
      <x:c r="J39" s="26"/>
      <x:c r="K39" s="26"/>
      <x:c r="L39" s="26"/>
      <x:c r="M39" s="26"/>
      <x:c r="N39" s="26"/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</x:row>
    <x:row r="40">
      <x:c r="A40" s="26"/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  <x:c r="L40" s="26"/>
      <x:c r="M40" s="26"/>
      <x:c r="N40" s="26"/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</x:row>
    <x:row r="41">
      <x:c r="A41" s="26"/>
      <x:c r="B41" s="26"/>
      <x:c r="C41" s="26"/>
      <x:c r="D41" s="26"/>
      <x:c r="E41" s="26"/>
      <x:c r="F41" s="26"/>
      <x:c r="G41" s="26"/>
      <x:c r="H41" s="26"/>
      <x:c r="I41" s="26"/>
      <x:c r="J41" s="26"/>
      <x:c r="K41" s="26"/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</x:row>
    <x:row r="42">
      <x:c r="A42" s="26"/>
      <x:c r="B42" s="26"/>
      <x:c r="C42" s="26"/>
      <x:c r="D42" s="26"/>
      <x:c r="E42" s="26"/>
      <x:c r="F42" s="26"/>
      <x:c r="G42" s="26"/>
      <x:c r="H42" s="26"/>
      <x:c r="I42" s="26"/>
      <x:c r="J42" s="26"/>
      <x:c r="K42" s="26"/>
      <x:c r="L42" s="26"/>
      <x:c r="M42" s="26"/>
      <x:c r="N42" s="26"/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</x:row>
    <x:row r="43">
      <x:c r="A43" s="26"/>
      <x:c r="B43" s="26"/>
      <x:c r="C43" s="26"/>
      <x:c r="D43" s="26"/>
      <x:c r="E43" s="26"/>
      <x:c r="F43" s="26"/>
      <x:c r="G43" s="26"/>
      <x:c r="H43" s="26"/>
      <x:c r="I43" s="26"/>
      <x:c r="J43" s="26"/>
      <x:c r="K43" s="26"/>
      <x:c r="L43" s="26"/>
      <x:c r="M43" s="26"/>
      <x:c r="N43" s="26"/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</x:row>
    <x:row r="44">
      <x:c r="A44" s="26"/>
      <x:c r="B44" s="26"/>
      <x:c r="C44" s="26"/>
      <x:c r="D44" s="26"/>
      <x:c r="E44" s="26"/>
      <x:c r="F44" s="26"/>
      <x:c r="G44" s="26"/>
      <x:c r="H44" s="26"/>
      <x:c r="I44" s="26"/>
      <x:c r="J44" s="26"/>
      <x:c r="K44" s="26"/>
      <x:c r="L44" s="26"/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</x:row>
    <x:row r="45">
      <x:c r="A45" s="26"/>
      <x:c r="B45" s="26"/>
      <x:c r="C45" s="26"/>
      <x:c r="D45" s="26"/>
      <x:c r="E45" s="26"/>
      <x:c r="F45" s="26"/>
      <x:c r="G45" s="26"/>
      <x:c r="H45" s="26"/>
      <x:c r="I45" s="26"/>
      <x:c r="J45" s="26"/>
      <x:c r="K45" s="26"/>
      <x:c r="L45" s="26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</x:row>
    <x:row r="46">
      <x:c r="A46" s="26"/>
      <x:c r="B46" s="26"/>
      <x:c r="C46" s="26"/>
      <x:c r="D46" s="26"/>
      <x:c r="E46" s="26"/>
      <x:c r="F46" s="26"/>
      <x:c r="G46" s="26"/>
      <x:c r="H46" s="26"/>
      <x:c r="I46" s="26"/>
      <x:c r="J46" s="26"/>
      <x:c r="K46" s="26"/>
      <x:c r="L46" s="26"/>
      <x:c r="M46" s="26"/>
      <x:c r="N46" s="26"/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</x:row>
    <x:row r="47">
      <x:c r="A47" s="26"/>
      <x:c r="B47" s="26"/>
      <x:c r="C47" s="26"/>
      <x:c r="D47" s="26"/>
      <x:c r="E47" s="26"/>
      <x:c r="F47" s="26"/>
      <x:c r="G47" s="26"/>
      <x:c r="H47" s="26"/>
      <x:c r="I47" s="26"/>
      <x:c r="J47" s="26"/>
      <x:c r="K47" s="26"/>
      <x:c r="L47" s="26"/>
      <x:c r="M47" s="26"/>
      <x:c r="N47" s="26"/>
      <x:c r="O47" s="26"/>
      <x:c r="P47" s="26"/>
      <x:c r="Q47" s="26"/>
      <x:c r="R47" s="26"/>
      <x:c r="S47" s="26"/>
      <x:c r="T47" s="26"/>
      <x:c r="U47" s="26"/>
      <x:c r="V47" s="26"/>
      <x:c r="W47" s="26"/>
      <x:c r="X47" s="26"/>
      <x:c r="Y47" s="26"/>
      <x:c r="Z47" s="26"/>
    </x:row>
    <x:row r="48">
      <x:c r="A48" s="26"/>
      <x:c r="B48" s="26"/>
      <x:c r="C48" s="26"/>
      <x:c r="D48" s="26"/>
      <x:c r="E48" s="26"/>
      <x:c r="F48" s="26"/>
      <x:c r="G48" s="26"/>
      <x:c r="H48" s="26"/>
      <x:c r="I48" s="26"/>
      <x:c r="J48" s="26"/>
      <x:c r="K48" s="26"/>
      <x:c r="L48" s="26"/>
      <x:c r="M48" s="26"/>
      <x:c r="N48" s="26"/>
      <x:c r="O48" s="26"/>
      <x:c r="P48" s="26"/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</x:row>
    <x:row r="49">
      <x:c r="A49" s="26"/>
      <x:c r="B49" s="26"/>
      <x:c r="C49" s="26"/>
      <x:c r="D49" s="26"/>
      <x:c r="E49" s="26"/>
      <x:c r="F49" s="26"/>
      <x:c r="G49" s="26"/>
      <x:c r="H49" s="26"/>
      <x:c r="I49" s="26"/>
      <x:c r="J49" s="26"/>
      <x:c r="K49" s="26"/>
      <x:c r="L49" s="26"/>
      <x:c r="M49" s="26"/>
      <x:c r="N49" s="26"/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</x:row>
    <x:row r="50">
      <x:c r="A50" s="26"/>
      <x:c r="B50" s="26"/>
      <x:c r="C50" s="26"/>
      <x:c r="D50" s="26"/>
      <x:c r="E50" s="26"/>
      <x:c r="F50" s="26"/>
      <x:c r="G50" s="26"/>
      <x:c r="H50" s="26"/>
      <x:c r="I50" s="26"/>
      <x:c r="J50" s="26"/>
      <x:c r="K50" s="26"/>
      <x:c r="L50" s="26"/>
      <x:c r="M50" s="26"/>
      <x:c r="N50" s="26"/>
      <x:c r="O50" s="26"/>
      <x:c r="P50" s="26"/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</x:row>
    <x:row r="51">
      <x:c r="A51" s="26"/>
      <x:c r="B51" s="26"/>
      <x:c r="C51" s="26"/>
      <x:c r="D51" s="26"/>
      <x:c r="E51" s="26"/>
      <x:c r="F51" s="26"/>
      <x:c r="G51" s="26"/>
      <x:c r="H51" s="26"/>
      <x:c r="I51" s="26"/>
      <x:c r="J51" s="26"/>
      <x:c r="K51" s="26"/>
      <x:c r="L51" s="26"/>
      <x:c r="M51" s="26"/>
      <x:c r="N51" s="26"/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</x:row>
    <x:row r="52">
      <x:c r="A52" s="26"/>
      <x:c r="B52" s="26"/>
      <x:c r="C52" s="26"/>
      <x:c r="D52" s="26"/>
      <x:c r="E52" s="26"/>
      <x:c r="F52" s="26"/>
      <x:c r="G52" s="26"/>
      <x:c r="H52" s="26"/>
      <x:c r="I52" s="26"/>
      <x:c r="J52" s="26"/>
      <x:c r="K52" s="26"/>
      <x:c r="L52" s="26"/>
      <x:c r="M52" s="26"/>
      <x:c r="N52" s="26"/>
      <x:c r="O52" s="26"/>
      <x:c r="P52" s="26"/>
      <x:c r="Q52" s="26"/>
      <x:c r="R52" s="26"/>
      <x:c r="S52" s="26"/>
      <x:c r="T52" s="26"/>
      <x:c r="U52" s="26"/>
      <x:c r="V52" s="26"/>
      <x:c r="W52" s="26"/>
      <x:c r="X52" s="26"/>
      <x:c r="Y52" s="26"/>
      <x:c r="Z52" s="26"/>
    </x:row>
    <x:row r="53">
      <x:c r="A53" s="26"/>
      <x:c r="B53" s="26"/>
      <x:c r="C53" s="26"/>
      <x:c r="D53" s="26"/>
      <x:c r="E53" s="26"/>
      <x:c r="F53" s="26"/>
      <x:c r="G53" s="26"/>
      <x:c r="H53" s="26"/>
      <x:c r="I53" s="26"/>
      <x:c r="J53" s="26"/>
      <x:c r="K53" s="26"/>
      <x:c r="L53" s="26"/>
      <x:c r="M53" s="26"/>
      <x:c r="N53" s="26"/>
      <x:c r="O53" s="26"/>
      <x:c r="P53" s="26"/>
      <x:c r="Q53" s="26"/>
      <x:c r="R53" s="26"/>
      <x:c r="S53" s="26"/>
      <x:c r="T53" s="26"/>
      <x:c r="U53" s="26"/>
      <x:c r="V53" s="26"/>
      <x:c r="W53" s="26"/>
      <x:c r="X53" s="26"/>
      <x:c r="Y53" s="26"/>
      <x:c r="Z53" s="26"/>
    </x:row>
    <x:row r="54">
      <x:c r="A54" s="26"/>
      <x:c r="B54" s="26"/>
      <x:c r="C54" s="26"/>
      <x:c r="D54" s="26"/>
      <x:c r="E54" s="26"/>
      <x:c r="F54" s="26"/>
      <x:c r="G54" s="26"/>
      <x:c r="H54" s="26"/>
      <x:c r="I54" s="26"/>
      <x:c r="J54" s="26"/>
      <x:c r="K54" s="26"/>
      <x:c r="L54" s="26"/>
      <x:c r="M54" s="26"/>
      <x:c r="N54" s="26"/>
      <x:c r="O54" s="26"/>
      <x:c r="P54" s="26"/>
      <x:c r="Q54" s="26"/>
      <x:c r="R54" s="26"/>
      <x:c r="S54" s="26"/>
      <x:c r="T54" s="26"/>
      <x:c r="U54" s="26"/>
      <x:c r="V54" s="26"/>
      <x:c r="W54" s="26"/>
      <x:c r="X54" s="26"/>
      <x:c r="Y54" s="26"/>
      <x:c r="Z54" s="26"/>
    </x:row>
    <x:row r="55">
      <x:c r="A55" s="26"/>
      <x:c r="B55" s="26"/>
      <x:c r="C55" s="26"/>
      <x:c r="D55" s="26"/>
      <x:c r="E55" s="26"/>
      <x:c r="F55" s="26"/>
      <x:c r="G55" s="26"/>
      <x:c r="H55" s="26"/>
      <x:c r="I55" s="26"/>
      <x:c r="J55" s="26"/>
      <x:c r="K55" s="26"/>
      <x:c r="L55" s="26"/>
      <x:c r="M55" s="26"/>
      <x:c r="N55" s="26"/>
      <x:c r="O55" s="26"/>
      <x:c r="P55" s="26"/>
      <x:c r="Q55" s="26"/>
      <x:c r="R55" s="26"/>
      <x:c r="S55" s="26"/>
      <x:c r="T55" s="26"/>
      <x:c r="U55" s="26"/>
      <x:c r="V55" s="26"/>
      <x:c r="W55" s="26"/>
      <x:c r="X55" s="26"/>
      <x:c r="Y55" s="26"/>
      <x:c r="Z55" s="26"/>
    </x:row>
    <x:row r="56">
      <x:c r="A56" s="26"/>
      <x:c r="B56" s="26"/>
      <x:c r="C56" s="26"/>
      <x:c r="D56" s="26"/>
      <x:c r="E56" s="26"/>
      <x:c r="F56" s="26"/>
      <x:c r="G56" s="26"/>
      <x:c r="H56" s="26"/>
      <x:c r="I56" s="26"/>
      <x:c r="J56" s="26"/>
      <x:c r="K56" s="26"/>
      <x:c r="L56" s="26"/>
      <x:c r="M56" s="26"/>
      <x:c r="N56" s="26"/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</x:row>
    <x:row r="57">
      <x:c r="A57" s="26"/>
      <x:c r="B57" s="26"/>
      <x:c r="C57" s="26"/>
      <x:c r="D57" s="26"/>
      <x:c r="E57" s="26"/>
      <x:c r="F57" s="26"/>
      <x:c r="G57" s="26"/>
      <x:c r="H57" s="26"/>
      <x:c r="I57" s="26"/>
      <x:c r="J57" s="26"/>
      <x:c r="K57" s="26"/>
      <x:c r="L57" s="26"/>
      <x:c r="M57" s="26"/>
      <x:c r="N57" s="26"/>
      <x:c r="O57" s="26"/>
      <x:c r="P57" s="26"/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</x:row>
    <x:row r="58">
      <x:c r="A58" s="26"/>
      <x:c r="B58" s="26"/>
      <x:c r="C58" s="26"/>
      <x:c r="D58" s="26"/>
      <x:c r="E58" s="26"/>
      <x:c r="F58" s="26"/>
      <x:c r="G58" s="26"/>
      <x:c r="H58" s="26"/>
      <x:c r="I58" s="26"/>
      <x:c r="J58" s="26"/>
      <x:c r="K58" s="26"/>
      <x:c r="L58" s="26"/>
      <x:c r="M58" s="26"/>
      <x:c r="N58" s="26"/>
      <x:c r="O58" s="26"/>
      <x:c r="P58" s="26"/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</x:row>
    <x:row r="59">
      <x:c r="A59" s="26"/>
      <x:c r="B59" s="26"/>
      <x:c r="C59" s="26"/>
      <x:c r="D59" s="26"/>
      <x:c r="E59" s="26"/>
      <x:c r="F59" s="26"/>
      <x:c r="G59" s="26"/>
      <x:c r="H59" s="26"/>
      <x:c r="I59" s="26"/>
      <x:c r="J59" s="26"/>
      <x:c r="K59" s="26"/>
      <x:c r="L59" s="26"/>
      <x:c r="M59" s="26"/>
      <x:c r="N59" s="26"/>
      <x:c r="O59" s="26"/>
      <x:c r="P59" s="26"/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</x:row>
    <x:row r="60">
      <x:c r="A60" s="26"/>
      <x:c r="B60" s="26"/>
      <x:c r="C60" s="26"/>
      <x:c r="D60" s="26"/>
      <x:c r="E60" s="26"/>
      <x:c r="F60" s="26"/>
      <x:c r="G60" s="26"/>
      <x:c r="H60" s="26"/>
      <x:c r="I60" s="26"/>
      <x:c r="J60" s="26"/>
      <x:c r="K60" s="26"/>
      <x:c r="L60" s="26"/>
      <x:c r="M60" s="26"/>
      <x:c r="N60" s="26"/>
      <x:c r="O60" s="26"/>
      <x:c r="P60" s="26"/>
      <x:c r="Q60" s="26"/>
      <x:c r="R60" s="26"/>
      <x:c r="S60" s="26"/>
      <x:c r="T60" s="26"/>
      <x:c r="U60" s="26"/>
      <x:c r="V60" s="26"/>
      <x:c r="W60" s="26"/>
      <x:c r="X60" s="26"/>
      <x:c r="Y60" s="26"/>
      <x:c r="Z60" s="26"/>
    </x:row>
    <x:row r="61">
      <x:c r="A61" s="26"/>
      <x:c r="B61" s="26"/>
      <x:c r="C61" s="26"/>
      <x:c r="D61" s="26"/>
      <x:c r="E61" s="26"/>
      <x:c r="F61" s="26"/>
      <x:c r="G61" s="26"/>
      <x:c r="H61" s="26"/>
      <x:c r="I61" s="26"/>
      <x:c r="J61" s="26"/>
      <x:c r="K61" s="26"/>
      <x:c r="L61" s="26"/>
      <x:c r="M61" s="26"/>
      <x:c r="N61" s="26"/>
      <x:c r="O61" s="26"/>
      <x:c r="P61" s="26"/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</x:row>
    <x:row r="62">
      <x:c r="A62" s="26"/>
      <x:c r="B62" s="26"/>
      <x:c r="C62" s="26"/>
      <x:c r="D62" s="26"/>
      <x:c r="E62" s="26"/>
      <x:c r="F62" s="26"/>
      <x:c r="G62" s="26"/>
      <x:c r="H62" s="26"/>
      <x:c r="I62" s="26"/>
      <x:c r="J62" s="26"/>
      <x:c r="K62" s="26"/>
      <x:c r="L62" s="26"/>
      <x:c r="M62" s="26"/>
      <x:c r="N62" s="26"/>
      <x:c r="O62" s="26"/>
      <x:c r="P62" s="26"/>
      <x:c r="Q62" s="26"/>
      <x:c r="R62" s="26"/>
      <x:c r="S62" s="26"/>
      <x:c r="T62" s="26"/>
      <x:c r="U62" s="26"/>
      <x:c r="V62" s="26"/>
      <x:c r="W62" s="26"/>
      <x:c r="X62" s="26"/>
      <x:c r="Y62" s="26"/>
      <x:c r="Z62" s="26"/>
    </x:row>
    <x:row r="63">
      <x:c r="A63" s="26"/>
      <x:c r="B63" s="26"/>
      <x:c r="C63" s="26"/>
      <x:c r="D63" s="26"/>
      <x:c r="E63" s="26"/>
      <x:c r="F63" s="26"/>
      <x:c r="G63" s="26"/>
      <x:c r="H63" s="26"/>
      <x:c r="I63" s="26"/>
      <x:c r="J63" s="26"/>
      <x:c r="K63" s="26"/>
      <x:c r="L63" s="26"/>
      <x:c r="M63" s="26"/>
      <x:c r="N63" s="26"/>
      <x:c r="O63" s="26"/>
      <x:c r="P63" s="26"/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</x:row>
    <x:row r="64">
      <x:c r="A64" s="26"/>
      <x:c r="B64" s="26"/>
      <x:c r="C64" s="26"/>
      <x:c r="D64" s="26"/>
      <x:c r="E64" s="26"/>
      <x:c r="F64" s="26"/>
      <x:c r="G64" s="26"/>
      <x:c r="H64" s="26"/>
      <x:c r="I64" s="26"/>
      <x:c r="J64" s="26"/>
      <x:c r="K64" s="26"/>
      <x:c r="L64" s="26"/>
      <x:c r="M64" s="26"/>
      <x:c r="N64" s="26"/>
      <x:c r="O64" s="26"/>
      <x:c r="P64" s="26"/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</x:row>
    <x:row r="65">
      <x:c r="A65" s="26"/>
      <x:c r="B65" s="26"/>
      <x:c r="C65" s="26"/>
      <x:c r="D65" s="26"/>
      <x:c r="E65" s="26"/>
      <x:c r="F65" s="26"/>
      <x:c r="G65" s="26"/>
      <x:c r="H65" s="26"/>
      <x:c r="I65" s="26"/>
      <x:c r="J65" s="26"/>
      <x:c r="K65" s="26"/>
      <x:c r="L65" s="26"/>
      <x:c r="M65" s="26"/>
      <x:c r="N65" s="26"/>
      <x:c r="O65" s="26"/>
      <x:c r="P65" s="26"/>
      <x:c r="Q65" s="26"/>
      <x:c r="R65" s="26"/>
      <x:c r="S65" s="26"/>
      <x:c r="T65" s="26"/>
      <x:c r="U65" s="26"/>
      <x:c r="V65" s="26"/>
      <x:c r="W65" s="26"/>
      <x:c r="X65" s="26"/>
      <x:c r="Y65" s="26"/>
      <x:c r="Z65" s="26"/>
    </x:row>
    <x:row r="66">
      <x:c r="A66" s="26"/>
      <x:c r="B66" s="26"/>
      <x:c r="C66" s="26"/>
      <x:c r="D66" s="26"/>
      <x:c r="E66" s="26"/>
      <x:c r="F66" s="26"/>
      <x:c r="G66" s="26"/>
      <x:c r="H66" s="26"/>
      <x:c r="I66" s="26"/>
      <x:c r="J66" s="26"/>
      <x:c r="K66" s="26"/>
      <x:c r="L66" s="26"/>
      <x:c r="M66" s="26"/>
      <x:c r="N66" s="26"/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</x:row>
    <x:row r="67">
      <x:c r="A67" s="26"/>
      <x:c r="B67" s="26"/>
      <x:c r="C67" s="26"/>
      <x:c r="D67" s="26"/>
      <x:c r="E67" s="26"/>
      <x:c r="F67" s="26"/>
      <x:c r="G67" s="26"/>
      <x:c r="H67" s="26"/>
      <x:c r="I67" s="26"/>
      <x:c r="J67" s="26"/>
      <x:c r="K67" s="26"/>
      <x:c r="L67" s="26"/>
      <x:c r="M67" s="26"/>
      <x:c r="N67" s="26"/>
      <x:c r="O67" s="26"/>
      <x:c r="P67" s="26"/>
      <x:c r="Q67" s="26"/>
      <x:c r="R67" s="26"/>
      <x:c r="S67" s="26"/>
      <x:c r="T67" s="26"/>
      <x:c r="U67" s="26"/>
      <x:c r="V67" s="26"/>
      <x:c r="W67" s="26"/>
      <x:c r="X67" s="26"/>
      <x:c r="Y67" s="26"/>
      <x:c r="Z67" s="26"/>
    </x:row>
    <x:row r="68">
      <x:c r="A68" s="26"/>
      <x:c r="B68" s="26"/>
      <x:c r="C68" s="26"/>
      <x:c r="D68" s="26"/>
      <x:c r="E68" s="26"/>
      <x:c r="F68" s="26"/>
      <x:c r="G68" s="26"/>
      <x:c r="H68" s="26"/>
      <x:c r="I68" s="26"/>
      <x:c r="J68" s="26"/>
      <x:c r="K68" s="26"/>
      <x:c r="L68" s="26"/>
      <x:c r="M68" s="26"/>
      <x:c r="N68" s="26"/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6"/>
      <x:c r="Z68" s="26"/>
    </x:row>
    <x:row r="69">
      <x:c r="A69" s="26"/>
      <x:c r="B69" s="26"/>
      <x:c r="C69" s="26"/>
      <x:c r="D69" s="26"/>
      <x:c r="E69" s="26"/>
      <x:c r="F69" s="26"/>
      <x:c r="G69" s="26"/>
      <x:c r="H69" s="26"/>
      <x:c r="I69" s="26"/>
      <x:c r="J69" s="26"/>
      <x:c r="K69" s="26"/>
      <x:c r="L69" s="26"/>
      <x:c r="M69" s="26"/>
      <x:c r="N69" s="26"/>
      <x:c r="O69" s="26"/>
      <x:c r="P69" s="26"/>
      <x:c r="Q69" s="26"/>
      <x:c r="R69" s="26"/>
      <x:c r="S69" s="26"/>
      <x:c r="T69" s="26"/>
      <x:c r="U69" s="26"/>
      <x:c r="V69" s="26"/>
      <x:c r="W69" s="26"/>
      <x:c r="X69" s="26"/>
      <x:c r="Y69" s="26"/>
      <x:c r="Z69" s="26"/>
    </x:row>
    <x:row r="70">
      <x:c r="A70" s="26"/>
      <x:c r="B70" s="26"/>
      <x:c r="C70" s="26"/>
      <x:c r="D70" s="26"/>
      <x:c r="E70" s="26"/>
      <x:c r="F70" s="26"/>
      <x:c r="G70" s="26"/>
      <x:c r="H70" s="26"/>
      <x:c r="I70" s="26"/>
      <x:c r="J70" s="26"/>
      <x:c r="K70" s="26"/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</x:row>
    <x:row r="71">
      <x:c r="A71" s="26"/>
      <x:c r="B71" s="26"/>
      <x:c r="C71" s="26"/>
      <x:c r="D71" s="26"/>
      <x:c r="E71" s="26"/>
      <x:c r="F71" s="26"/>
      <x:c r="G71" s="26"/>
      <x:c r="H71" s="26"/>
      <x:c r="I71" s="26"/>
      <x:c r="J71" s="26"/>
      <x:c r="K71" s="26"/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6"/>
      <x:c r="Z71" s="26"/>
    </x:row>
    <x:row r="72">
      <x:c r="A72" s="26"/>
      <x:c r="B72" s="26"/>
      <x:c r="C72" s="26"/>
      <x:c r="D72" s="26"/>
      <x:c r="E72" s="26"/>
      <x:c r="F72" s="26"/>
      <x:c r="G72" s="26"/>
      <x:c r="H72" s="26"/>
      <x:c r="I72" s="26"/>
      <x:c r="J72" s="26"/>
      <x:c r="K72" s="26"/>
      <x:c r="L72" s="26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/>
      <x:c r="Y72" s="26"/>
      <x:c r="Z72" s="26"/>
    </x:row>
    <x:row r="73">
      <x:c r="A73" s="26"/>
      <x:c r="B73" s="26"/>
      <x:c r="C73" s="26"/>
      <x:c r="D73" s="26"/>
      <x:c r="E73" s="26"/>
      <x:c r="F73" s="26"/>
      <x:c r="G73" s="26"/>
      <x:c r="H73" s="26"/>
      <x:c r="I73" s="26"/>
      <x:c r="J73" s="26"/>
      <x:c r="K73" s="26"/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</x:row>
    <x:row r="74">
      <x:c r="A74" s="26"/>
      <x:c r="B74" s="26"/>
      <x:c r="C74" s="26"/>
      <x:c r="D74" s="26"/>
      <x:c r="E74" s="26"/>
      <x:c r="F74" s="26"/>
      <x:c r="G74" s="26"/>
      <x:c r="H74" s="26"/>
      <x:c r="I74" s="26"/>
      <x:c r="J74" s="26"/>
      <x:c r="K74" s="26"/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6"/>
      <x:c r="Z74" s="26"/>
    </x:row>
    <x:row r="75">
      <x:c r="A75" s="26"/>
      <x:c r="B75" s="26"/>
      <x:c r="C75" s="26"/>
      <x:c r="D75" s="26"/>
      <x:c r="E75" s="26"/>
      <x:c r="F75" s="26"/>
      <x:c r="G75" s="26"/>
      <x:c r="H75" s="26"/>
      <x:c r="I75" s="26"/>
      <x:c r="J75" s="26"/>
      <x:c r="K75" s="26"/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6"/>
      <x:c r="Z75" s="26"/>
    </x:row>
    <x:row r="76">
      <x:c r="A76" s="26"/>
      <x:c r="B76" s="26"/>
      <x:c r="C76" s="26"/>
      <x:c r="D76" s="26"/>
      <x:c r="E76" s="26"/>
      <x:c r="F76" s="26"/>
      <x:c r="G76" s="26"/>
      <x:c r="H76" s="26"/>
      <x:c r="I76" s="26"/>
      <x:c r="J76" s="26"/>
      <x:c r="K76" s="26"/>
      <x:c r="L76" s="26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6"/>
      <x:c r="Z76" s="26"/>
    </x:row>
    <x:row r="77">
      <x:c r="A77" s="26"/>
      <x:c r="B77" s="26"/>
      <x:c r="C77" s="26"/>
      <x:c r="D77" s="26"/>
      <x:c r="E77" s="26"/>
      <x:c r="F77" s="26"/>
      <x:c r="G77" s="26"/>
      <x:c r="H77" s="26"/>
      <x:c r="I77" s="26"/>
      <x:c r="J77" s="26"/>
      <x:c r="K77" s="26"/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</x:row>
    <x:row r="78">
      <x:c r="A78" s="26"/>
      <x:c r="B78" s="26"/>
      <x:c r="C78" s="26"/>
      <x:c r="D78" s="26"/>
      <x:c r="E78" s="26"/>
      <x:c r="F78" s="26"/>
      <x:c r="G78" s="26"/>
      <x:c r="H78" s="26"/>
      <x:c r="I78" s="26"/>
      <x:c r="J78" s="26"/>
      <x:c r="K78" s="26"/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6"/>
      <x:c r="Z78" s="26"/>
    </x:row>
    <x:row r="79">
      <x:c r="A79" s="26"/>
      <x:c r="B79" s="26"/>
      <x:c r="C79" s="26"/>
      <x:c r="D79" s="26"/>
      <x:c r="E79" s="26"/>
      <x:c r="F79" s="26"/>
      <x:c r="G79" s="26"/>
      <x:c r="H79" s="26"/>
      <x:c r="I79" s="26"/>
      <x:c r="J79" s="26"/>
      <x:c r="K79" s="26"/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/>
      <x:c r="Z79" s="26"/>
    </x:row>
    <x:row r="80">
      <x:c r="A80" s="26"/>
      <x:c r="B80" s="26"/>
      <x:c r="C80" s="26"/>
      <x:c r="D80" s="26"/>
      <x:c r="E80" s="26"/>
      <x:c r="F80" s="26"/>
      <x:c r="G80" s="26"/>
      <x:c r="H80" s="26"/>
      <x:c r="I80" s="26"/>
      <x:c r="J80" s="26"/>
      <x:c r="K80" s="26"/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</x:row>
    <x:row r="81">
      <x:c r="A81" s="26"/>
      <x:c r="B81" s="26"/>
      <x:c r="C81" s="26"/>
      <x:c r="D81" s="26"/>
      <x:c r="E81" s="26"/>
      <x:c r="F81" s="26"/>
      <x:c r="G81" s="26"/>
      <x:c r="H81" s="26"/>
      <x:c r="I81" s="26"/>
      <x:c r="J81" s="26"/>
      <x:c r="K81" s="26"/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  <x:c r="Z81" s="26"/>
    </x:row>
    <x:row r="82">
      <x:c r="A82" s="26"/>
      <x:c r="B82" s="26"/>
      <x:c r="C82" s="26"/>
      <x:c r="D82" s="26"/>
      <x:c r="E82" s="26"/>
      <x:c r="F82" s="26"/>
      <x:c r="G82" s="26"/>
      <x:c r="H82" s="26"/>
      <x:c r="I82" s="26"/>
      <x:c r="J82" s="26"/>
      <x:c r="K82" s="26"/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</x:row>
    <x:row r="83">
      <x:c r="A83" s="26"/>
      <x:c r="B83" s="26"/>
      <x:c r="C83" s="26"/>
      <x:c r="D83" s="26"/>
      <x:c r="E83" s="26"/>
      <x:c r="F83" s="26"/>
      <x:c r="G83" s="26"/>
      <x:c r="H83" s="26"/>
      <x:c r="I83" s="26"/>
      <x:c r="J83" s="26"/>
      <x:c r="K83" s="26"/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6"/>
    </x:row>
    <x:row r="84">
      <x:c r="A84" s="26"/>
      <x:c r="B84" s="26"/>
      <x:c r="C84" s="26"/>
      <x:c r="D84" s="26"/>
      <x:c r="E84" s="26"/>
      <x:c r="F84" s="26"/>
      <x:c r="G84" s="26"/>
      <x:c r="H84" s="26"/>
      <x:c r="I84" s="26"/>
      <x:c r="J84" s="26"/>
      <x:c r="K84" s="26"/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6"/>
    </x:row>
    <x:row r="85">
      <x:c r="A85" s="26"/>
      <x:c r="B85" s="26"/>
      <x:c r="C85" s="26"/>
      <x:c r="D85" s="26"/>
      <x:c r="E85" s="26"/>
      <x:c r="F85" s="26"/>
      <x:c r="G85" s="26"/>
      <x:c r="H85" s="26"/>
      <x:c r="I85" s="26"/>
      <x:c r="J85" s="26"/>
      <x:c r="K85" s="26"/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  <x:c r="Z85" s="26"/>
    </x:row>
    <x:row r="86">
      <x:c r="A86" s="26"/>
      <x:c r="B86" s="26"/>
      <x:c r="C86" s="26"/>
      <x:c r="D86" s="26"/>
      <x:c r="E86" s="26"/>
      <x:c r="F86" s="26"/>
      <x:c r="G86" s="26"/>
      <x:c r="H86" s="26"/>
      <x:c r="I86" s="26"/>
      <x:c r="J86" s="26"/>
      <x:c r="K86" s="26"/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6"/>
    </x:row>
    <x:row r="87">
      <x:c r="A87" s="26"/>
      <x:c r="B87" s="26"/>
      <x:c r="C87" s="26"/>
      <x:c r="D87" s="26"/>
      <x:c r="E87" s="26"/>
      <x:c r="F87" s="26"/>
      <x:c r="G87" s="26"/>
      <x:c r="H87" s="26"/>
      <x:c r="I87" s="26"/>
      <x:c r="J87" s="26"/>
      <x:c r="K87" s="26"/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6"/>
    </x:row>
    <x:row r="88">
      <x:c r="A88" s="26"/>
      <x:c r="B88" s="26"/>
      <x:c r="C88" s="26"/>
      <x:c r="D88" s="26"/>
      <x:c r="E88" s="26"/>
      <x:c r="F88" s="26"/>
      <x:c r="G88" s="26"/>
      <x:c r="H88" s="26"/>
      <x:c r="I88" s="26"/>
      <x:c r="J88" s="26"/>
      <x:c r="K88" s="26"/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6"/>
    </x:row>
    <x:row r="89">
      <x:c r="A89" s="26"/>
      <x:c r="B89" s="26"/>
      <x:c r="C89" s="26"/>
      <x:c r="D89" s="26"/>
      <x:c r="E89" s="26"/>
      <x:c r="F89" s="26"/>
      <x:c r="G89" s="26"/>
      <x:c r="H89" s="26"/>
      <x:c r="I89" s="26"/>
      <x:c r="J89" s="26"/>
      <x:c r="K89" s="26"/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6"/>
    </x:row>
    <x:row r="90">
      <x:c r="A90" s="26"/>
      <x:c r="B90" s="26"/>
      <x:c r="C90" s="26"/>
      <x:c r="D90" s="26"/>
      <x:c r="E90" s="26"/>
      <x:c r="F90" s="26"/>
      <x:c r="G90" s="26"/>
      <x:c r="H90" s="26"/>
      <x:c r="I90" s="26"/>
      <x:c r="J90" s="26"/>
      <x:c r="K90" s="26"/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6"/>
    </x:row>
    <x:row r="91">
      <x:c r="A91" s="26"/>
      <x:c r="B91" s="26"/>
      <x:c r="C91" s="26"/>
      <x:c r="D91" s="26"/>
      <x:c r="E91" s="26"/>
      <x:c r="F91" s="26"/>
      <x:c r="G91" s="26"/>
      <x:c r="H91" s="26"/>
      <x:c r="I91" s="26"/>
      <x:c r="J91" s="26"/>
      <x:c r="K91" s="26"/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6"/>
    </x:row>
    <x:row r="92">
      <x:c r="A92" s="26"/>
      <x:c r="B92" s="26"/>
      <x:c r="C92" s="26"/>
      <x:c r="D92" s="26"/>
      <x:c r="E92" s="26"/>
      <x:c r="F92" s="26"/>
      <x:c r="G92" s="26"/>
      <x:c r="H92" s="26"/>
      <x:c r="I92" s="26"/>
      <x:c r="J92" s="26"/>
      <x:c r="K92" s="26"/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6"/>
    </x:row>
    <x:row r="93">
      <x:c r="A93" s="26"/>
      <x:c r="B93" s="26"/>
      <x:c r="C93" s="26"/>
      <x:c r="D93" s="26"/>
      <x:c r="E93" s="26"/>
      <x:c r="F93" s="26"/>
      <x:c r="G93" s="26"/>
      <x:c r="H93" s="26"/>
      <x:c r="I93" s="26"/>
      <x:c r="J93" s="26"/>
      <x:c r="K93" s="26"/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6"/>
    </x:row>
    <x:row r="94">
      <x:c r="A94" s="26"/>
      <x:c r="B94" s="26"/>
      <x:c r="C94" s="26"/>
      <x:c r="D94" s="26"/>
      <x:c r="E94" s="26"/>
      <x:c r="F94" s="26"/>
      <x:c r="G94" s="26"/>
      <x:c r="H94" s="26"/>
      <x:c r="I94" s="26"/>
      <x:c r="J94" s="26"/>
      <x:c r="K94" s="26"/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6"/>
    </x:row>
    <x:row r="95">
      <x:c r="A95" s="26"/>
      <x:c r="B95" s="26"/>
      <x:c r="C95" s="26"/>
      <x:c r="D95" s="26"/>
      <x:c r="E95" s="26"/>
      <x:c r="F95" s="26"/>
      <x:c r="G95" s="26"/>
      <x:c r="H95" s="26"/>
      <x:c r="I95" s="26"/>
      <x:c r="J95" s="26"/>
      <x:c r="K95" s="26"/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</x:row>
    <x:row r="96">
      <x:c r="A96" s="26"/>
      <x:c r="B96" s="26"/>
      <x:c r="C96" s="26"/>
      <x:c r="D96" s="26"/>
      <x:c r="E96" s="26"/>
      <x:c r="F96" s="26"/>
      <x:c r="G96" s="26"/>
      <x:c r="H96" s="26"/>
      <x:c r="I96" s="26"/>
      <x:c r="J96" s="26"/>
      <x:c r="K96" s="26"/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</x:row>
    <x:row r="97">
      <x:c r="A97" s="26"/>
      <x:c r="B97" s="26"/>
      <x:c r="C97" s="26"/>
      <x:c r="D97" s="26"/>
      <x:c r="E97" s="26"/>
      <x:c r="F97" s="26"/>
      <x:c r="G97" s="26"/>
      <x:c r="H97" s="26"/>
      <x:c r="I97" s="26"/>
      <x:c r="J97" s="26"/>
      <x:c r="K97" s="26"/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</x:row>
    <x:row r="98">
      <x:c r="A98" s="26"/>
      <x:c r="B98" s="26"/>
      <x:c r="C98" s="26"/>
      <x:c r="D98" s="26"/>
      <x:c r="E98" s="26"/>
      <x:c r="F98" s="26"/>
      <x:c r="G98" s="26"/>
      <x:c r="H98" s="26"/>
      <x:c r="I98" s="26"/>
      <x:c r="J98" s="26"/>
      <x:c r="K98" s="26"/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</x:row>
    <x:row r="99">
      <x:c r="A99" s="26"/>
      <x:c r="B99" s="26"/>
      <x:c r="C99" s="26"/>
      <x:c r="D99" s="26"/>
      <x:c r="E99" s="26"/>
      <x:c r="F99" s="26"/>
      <x:c r="G99" s="26"/>
      <x:c r="H99" s="26"/>
      <x:c r="I99" s="26"/>
      <x:c r="J99" s="26"/>
      <x:c r="K99" s="26"/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</x:row>
    <x:row r="100">
      <x:c r="A100" s="26"/>
      <x:c r="B100" s="26"/>
      <x:c r="C100" s="26"/>
      <x:c r="D100" s="26"/>
      <x:c r="E100" s="26"/>
      <x:c r="F100" s="26"/>
      <x:c r="G100" s="26"/>
      <x:c r="H100" s="26"/>
      <x:c r="I100" s="26"/>
      <x:c r="J100" s="26"/>
      <x:c r="K100" s="26"/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</x:row>
    <x:row r="101">
      <x:c r="A101" s="26"/>
      <x:c r="B101" s="26"/>
      <x:c r="C101" s="26"/>
      <x:c r="D101" s="26"/>
      <x:c r="E101" s="26"/>
      <x:c r="F101" s="26"/>
      <x:c r="G101" s="26"/>
      <x:c r="H101" s="26"/>
      <x:c r="I101" s="26"/>
      <x:c r="J101" s="26"/>
      <x:c r="K101" s="26"/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</x:row>
    <x:row r="102">
      <x:c r="A102" s="26"/>
      <x:c r="B102" s="26"/>
      <x:c r="C102" s="26"/>
      <x:c r="D102" s="26"/>
      <x:c r="E102" s="26"/>
      <x:c r="F102" s="26"/>
      <x:c r="G102" s="26"/>
      <x:c r="H102" s="26"/>
      <x:c r="I102" s="26"/>
      <x:c r="J102" s="26"/>
      <x:c r="K102" s="26"/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  <x:c r="Z102" s="26"/>
    </x:row>
    <x:row r="103">
      <x:c r="A103" s="26"/>
      <x:c r="B103" s="26"/>
      <x:c r="C103" s="26"/>
      <x:c r="D103" s="26"/>
      <x:c r="E103" s="26"/>
      <x:c r="F103" s="26"/>
      <x:c r="G103" s="26"/>
      <x:c r="H103" s="26"/>
      <x:c r="I103" s="26"/>
      <x:c r="J103" s="26"/>
      <x:c r="K103" s="26"/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</x:row>
    <x:row r="104">
      <x:c r="A104" s="26"/>
      <x:c r="B104" s="26"/>
      <x:c r="C104" s="26"/>
      <x:c r="D104" s="26"/>
      <x:c r="E104" s="26"/>
      <x:c r="F104" s="26"/>
      <x:c r="G104" s="26"/>
      <x:c r="H104" s="26"/>
      <x:c r="I104" s="26"/>
      <x:c r="J104" s="26"/>
      <x:c r="K104" s="26"/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</x:row>
    <x:row r="105">
      <x:c r="A105" s="26"/>
      <x:c r="B105" s="26"/>
      <x:c r="C105" s="26"/>
      <x:c r="D105" s="26"/>
      <x:c r="E105" s="26"/>
      <x:c r="F105" s="26"/>
      <x:c r="G105" s="26"/>
      <x:c r="H105" s="26"/>
      <x:c r="I105" s="26"/>
      <x:c r="J105" s="26"/>
      <x:c r="K105" s="26"/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</x:row>
    <x:row r="106">
      <x:c r="A106" s="26"/>
      <x:c r="B106" s="26"/>
      <x:c r="C106" s="26"/>
      <x:c r="D106" s="26"/>
      <x:c r="E106" s="26"/>
      <x:c r="F106" s="26"/>
      <x:c r="G106" s="26"/>
      <x:c r="H106" s="26"/>
      <x:c r="I106" s="26"/>
      <x:c r="J106" s="26"/>
      <x:c r="K106" s="26"/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</x:row>
    <x:row r="107">
      <x:c r="A107" s="26"/>
      <x:c r="B107" s="26"/>
      <x:c r="C107" s="26"/>
      <x:c r="D107" s="26"/>
      <x:c r="E107" s="26"/>
      <x:c r="F107" s="26"/>
      <x:c r="G107" s="26"/>
      <x:c r="H107" s="26"/>
      <x:c r="I107" s="26"/>
      <x:c r="J107" s="26"/>
      <x:c r="K107" s="26"/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</x:row>
    <x:row r="108">
      <x:c r="A108" s="26"/>
      <x:c r="B108" s="26"/>
      <x:c r="C108" s="26"/>
      <x:c r="D108" s="26"/>
      <x:c r="E108" s="26"/>
      <x:c r="F108" s="26"/>
      <x:c r="G108" s="26"/>
      <x:c r="H108" s="26"/>
      <x:c r="I108" s="26"/>
      <x:c r="J108" s="26"/>
      <x:c r="K108" s="26"/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</x:row>
    <x:row r="109">
      <x:c r="A109" s="26"/>
      <x:c r="B109" s="26"/>
      <x:c r="C109" s="26"/>
      <x:c r="D109" s="26"/>
      <x:c r="E109" s="26"/>
      <x:c r="F109" s="26"/>
      <x:c r="G109" s="26"/>
      <x:c r="H109" s="26"/>
      <x:c r="I109" s="26"/>
      <x:c r="J109" s="26"/>
      <x:c r="K109" s="26"/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</x:row>
    <x:row r="110">
      <x:c r="A110" s="26"/>
      <x:c r="B110" s="26"/>
      <x:c r="C110" s="26"/>
      <x:c r="D110" s="26"/>
      <x:c r="E110" s="26"/>
      <x:c r="F110" s="26"/>
      <x:c r="G110" s="26"/>
      <x:c r="H110" s="26"/>
      <x:c r="I110" s="26"/>
      <x:c r="J110" s="26"/>
      <x:c r="K110" s="26"/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</x:row>
    <x:row r="111">
      <x:c r="A111" s="26"/>
      <x:c r="B111" s="26"/>
      <x:c r="C111" s="26"/>
      <x:c r="D111" s="26"/>
      <x:c r="E111" s="26"/>
      <x:c r="F111" s="26"/>
      <x:c r="G111" s="26"/>
      <x:c r="H111" s="26"/>
      <x:c r="I111" s="26"/>
      <x:c r="J111" s="26"/>
      <x:c r="K111" s="26"/>
      <x:c r="L111" s="26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/>
      <x:c r="Y111" s="26"/>
      <x:c r="Z111" s="26"/>
    </x:row>
    <x:row r="112">
      <x:c r="A112" s="26"/>
      <x:c r="B112" s="26"/>
      <x:c r="C112" s="26"/>
      <x:c r="D112" s="26"/>
      <x:c r="E112" s="26"/>
      <x:c r="F112" s="26"/>
      <x:c r="G112" s="26"/>
      <x:c r="H112" s="26"/>
      <x:c r="I112" s="26"/>
      <x:c r="J112" s="26"/>
      <x:c r="K112" s="26"/>
      <x:c r="L112" s="26"/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/>
      <x:c r="Z112" s="26"/>
    </x:row>
    <x:row r="113">
      <x:c r="A113" s="26"/>
      <x:c r="B113" s="26"/>
      <x:c r="C113" s="26"/>
      <x:c r="D113" s="26"/>
      <x:c r="E113" s="26"/>
      <x:c r="F113" s="26"/>
      <x:c r="G113" s="26"/>
      <x:c r="H113" s="26"/>
      <x:c r="I113" s="26"/>
      <x:c r="J113" s="26"/>
      <x:c r="K113" s="26"/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6"/>
    </x:row>
    <x:row r="114">
      <x:c r="A114" s="26"/>
      <x:c r="B114" s="26"/>
      <x:c r="C114" s="26"/>
      <x:c r="D114" s="26"/>
      <x:c r="E114" s="26"/>
      <x:c r="F114" s="26"/>
      <x:c r="G114" s="26"/>
      <x:c r="H114" s="26"/>
      <x:c r="I114" s="26"/>
      <x:c r="J114" s="26"/>
      <x:c r="K114" s="26"/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</x:row>
    <x:row r="115">
      <x:c r="A115" s="26"/>
      <x:c r="B115" s="26"/>
      <x:c r="C115" s="26"/>
      <x:c r="D115" s="26"/>
      <x:c r="E115" s="26"/>
      <x:c r="F115" s="26"/>
      <x:c r="G115" s="26"/>
      <x:c r="H115" s="26"/>
      <x:c r="I115" s="26"/>
      <x:c r="J115" s="26"/>
      <x:c r="K115" s="26"/>
      <x:c r="L115" s="26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6"/>
    </x:row>
    <x:row r="116">
      <x:c r="A116" s="26"/>
      <x:c r="B116" s="26"/>
      <x:c r="C116" s="26"/>
      <x:c r="D116" s="26"/>
      <x:c r="E116" s="26"/>
      <x:c r="F116" s="26"/>
      <x:c r="G116" s="26"/>
      <x:c r="H116" s="26"/>
      <x:c r="I116" s="26"/>
      <x:c r="J116" s="26"/>
      <x:c r="K116" s="26"/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</x:row>
    <x:row r="117">
      <x:c r="A117" s="26"/>
      <x:c r="B117" s="26"/>
      <x:c r="C117" s="26"/>
      <x:c r="D117" s="26"/>
      <x:c r="E117" s="26"/>
      <x:c r="F117" s="26"/>
      <x:c r="G117" s="26"/>
      <x:c r="H117" s="26"/>
      <x:c r="I117" s="26"/>
      <x:c r="J117" s="26"/>
      <x:c r="K117" s="26"/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</x:row>
    <x:row r="118">
      <x:c r="A118" s="26"/>
      <x:c r="B118" s="26"/>
      <x:c r="C118" s="26"/>
      <x:c r="D118" s="26"/>
      <x:c r="E118" s="26"/>
      <x:c r="F118" s="26"/>
      <x:c r="G118" s="26"/>
      <x:c r="H118" s="26"/>
      <x:c r="I118" s="26"/>
      <x:c r="J118" s="26"/>
      <x:c r="K118" s="26"/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</x:row>
    <x:row r="119">
      <x:c r="A119" s="26"/>
      <x:c r="B119" s="26"/>
      <x:c r="C119" s="26"/>
      <x:c r="D119" s="26"/>
      <x:c r="E119" s="26"/>
      <x:c r="F119" s="26"/>
      <x:c r="G119" s="26"/>
      <x:c r="H119" s="26"/>
      <x:c r="I119" s="26"/>
      <x:c r="J119" s="26"/>
      <x:c r="K119" s="26"/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</x:row>
    <x:row r="120">
      <x:c r="A120" s="26"/>
      <x:c r="B120" s="26"/>
      <x:c r="C120" s="26"/>
      <x:c r="D120" s="26"/>
      <x:c r="E120" s="26"/>
      <x:c r="F120" s="26"/>
      <x:c r="G120" s="26"/>
      <x:c r="H120" s="26"/>
      <x:c r="I120" s="26"/>
      <x:c r="J120" s="26"/>
      <x:c r="K120" s="26"/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</x:row>
    <x:row r="121">
      <x:c r="A121" s="26"/>
      <x:c r="B121" s="26"/>
      <x:c r="C121" s="26"/>
      <x:c r="D121" s="26"/>
      <x:c r="E121" s="26"/>
      <x:c r="F121" s="26"/>
      <x:c r="G121" s="26"/>
      <x:c r="H121" s="26"/>
      <x:c r="I121" s="26"/>
      <x:c r="J121" s="26"/>
      <x:c r="K121" s="26"/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6"/>
    </x:row>
    <x:row r="122">
      <x:c r="A122" s="26"/>
      <x:c r="B122" s="26"/>
      <x:c r="C122" s="26"/>
      <x:c r="D122" s="26"/>
      <x:c r="E122" s="26"/>
      <x:c r="F122" s="26"/>
      <x:c r="G122" s="26"/>
      <x:c r="H122" s="26"/>
      <x:c r="I122" s="26"/>
      <x:c r="J122" s="26"/>
      <x:c r="K122" s="26"/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6"/>
    </x:row>
    <x:row r="123">
      <x:c r="A123" s="26"/>
      <x:c r="B123" s="26"/>
      <x:c r="C123" s="26"/>
      <x:c r="D123" s="26"/>
      <x:c r="E123" s="26"/>
      <x:c r="F123" s="26"/>
      <x:c r="G123" s="26"/>
      <x:c r="H123" s="26"/>
      <x:c r="I123" s="26"/>
      <x:c r="J123" s="26"/>
      <x:c r="K123" s="26"/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6"/>
    </x:row>
    <x:row r="124">
      <x:c r="A124" s="26"/>
      <x:c r="B124" s="26"/>
      <x:c r="C124" s="26"/>
      <x:c r="D124" s="26"/>
      <x:c r="E124" s="26"/>
      <x:c r="F124" s="26"/>
      <x:c r="G124" s="26"/>
      <x:c r="H124" s="26"/>
      <x:c r="I124" s="26"/>
      <x:c r="J124" s="26"/>
      <x:c r="K124" s="26"/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</x:row>
    <x:row r="125">
      <x:c r="A125" s="26"/>
      <x:c r="B125" s="26"/>
      <x:c r="C125" s="26"/>
      <x:c r="D125" s="26"/>
      <x:c r="E125" s="26"/>
      <x:c r="F125" s="26"/>
      <x:c r="G125" s="26"/>
      <x:c r="H125" s="26"/>
      <x:c r="I125" s="26"/>
      <x:c r="J125" s="26"/>
      <x:c r="K125" s="26"/>
      <x:c r="L125" s="26"/>
      <x:c r="M125" s="26"/>
      <x:c r="N125" s="26"/>
      <x:c r="O125" s="26"/>
      <x:c r="P125" s="26"/>
      <x:c r="Q125" s="26"/>
      <x:c r="R125" s="26"/>
      <x:c r="S125" s="26"/>
      <x:c r="T125" s="26"/>
      <x:c r="U125" s="26"/>
      <x:c r="V125" s="26"/>
      <x:c r="W125" s="26"/>
      <x:c r="X125" s="26"/>
      <x:c r="Y125" s="26"/>
      <x:c r="Z125" s="26"/>
    </x:row>
    <x:row r="126">
      <x:c r="A126" s="26"/>
      <x:c r="B126" s="26"/>
      <x:c r="C126" s="26"/>
      <x:c r="D126" s="26"/>
      <x:c r="E126" s="26"/>
      <x:c r="F126" s="26"/>
      <x:c r="G126" s="26"/>
      <x:c r="H126" s="26"/>
      <x:c r="I126" s="26"/>
      <x:c r="J126" s="26"/>
      <x:c r="K126" s="26"/>
      <x:c r="L126" s="26"/>
      <x:c r="M126" s="26"/>
      <x:c r="N126" s="26"/>
      <x:c r="O126" s="26"/>
      <x:c r="P126" s="26"/>
      <x:c r="Q126" s="26"/>
      <x:c r="R126" s="26"/>
      <x:c r="S126" s="26"/>
      <x:c r="T126" s="26"/>
      <x:c r="U126" s="26"/>
      <x:c r="V126" s="26"/>
      <x:c r="W126" s="26"/>
      <x:c r="X126" s="26"/>
      <x:c r="Y126" s="26"/>
      <x:c r="Z126" s="26"/>
    </x:row>
    <x:row r="127">
      <x:c r="A127" s="26"/>
      <x:c r="B127" s="26"/>
      <x:c r="C127" s="26"/>
      <x:c r="D127" s="26"/>
      <x:c r="E127" s="26"/>
      <x:c r="F127" s="26"/>
      <x:c r="G127" s="26"/>
      <x:c r="H127" s="26"/>
      <x:c r="I127" s="26"/>
      <x:c r="J127" s="26"/>
      <x:c r="K127" s="26"/>
      <x:c r="L127" s="26"/>
      <x:c r="M127" s="26"/>
      <x:c r="N127" s="26"/>
      <x:c r="O127" s="26"/>
      <x:c r="P127" s="26"/>
      <x:c r="Q127" s="26"/>
      <x:c r="R127" s="26"/>
      <x:c r="S127" s="26"/>
      <x:c r="T127" s="26"/>
      <x:c r="U127" s="26"/>
      <x:c r="V127" s="26"/>
      <x:c r="W127" s="26"/>
      <x:c r="X127" s="26"/>
      <x:c r="Y127" s="26"/>
      <x:c r="Z127" s="26"/>
    </x:row>
    <x:row r="128">
      <x:c r="A128" s="26"/>
      <x:c r="B128" s="26"/>
      <x:c r="C128" s="26"/>
      <x:c r="D128" s="26"/>
      <x:c r="E128" s="26"/>
      <x:c r="F128" s="26"/>
      <x:c r="G128" s="26"/>
      <x:c r="H128" s="26"/>
      <x:c r="I128" s="26"/>
      <x:c r="J128" s="26"/>
      <x:c r="K128" s="26"/>
      <x:c r="L128" s="26"/>
      <x:c r="M128" s="26"/>
      <x:c r="N128" s="26"/>
      <x:c r="O128" s="26"/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6"/>
    </x:row>
    <x:row r="129">
      <x:c r="A129" s="26"/>
      <x:c r="B129" s="26"/>
      <x:c r="C129" s="26"/>
      <x:c r="D129" s="26"/>
      <x:c r="E129" s="26"/>
      <x:c r="F129" s="26"/>
      <x:c r="G129" s="26"/>
      <x:c r="H129" s="26"/>
      <x:c r="I129" s="26"/>
      <x:c r="J129" s="26"/>
      <x:c r="K129" s="26"/>
      <x:c r="L129" s="26"/>
      <x:c r="M129" s="26"/>
      <x:c r="N129" s="26"/>
      <x:c r="O129" s="26"/>
      <x:c r="P129" s="26"/>
      <x:c r="Q129" s="26"/>
      <x:c r="R129" s="26"/>
      <x:c r="S129" s="26"/>
      <x:c r="T129" s="26"/>
      <x:c r="U129" s="26"/>
      <x:c r="V129" s="26"/>
      <x:c r="W129" s="26"/>
      <x:c r="X129" s="26"/>
      <x:c r="Y129" s="26"/>
      <x:c r="Z129" s="26"/>
    </x:row>
    <x:row r="130">
      <x:c r="A130" s="26"/>
      <x:c r="B130" s="26"/>
      <x:c r="C130" s="26"/>
      <x:c r="D130" s="26"/>
      <x:c r="E130" s="26"/>
      <x:c r="F130" s="26"/>
      <x:c r="G130" s="26"/>
      <x:c r="H130" s="26"/>
      <x:c r="I130" s="26"/>
      <x:c r="J130" s="26"/>
      <x:c r="K130" s="26"/>
      <x:c r="L130" s="26"/>
      <x:c r="M130" s="26"/>
      <x:c r="N130" s="26"/>
      <x:c r="O130" s="26"/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/>
      <x:c r="Z130" s="26"/>
    </x:row>
    <x:row r="131">
      <x:c r="A131" s="26"/>
      <x:c r="B131" s="26"/>
      <x:c r="C131" s="26"/>
      <x:c r="D131" s="26"/>
      <x:c r="E131" s="26"/>
      <x:c r="F131" s="26"/>
      <x:c r="G131" s="26"/>
      <x:c r="H131" s="26"/>
      <x:c r="I131" s="26"/>
      <x:c r="J131" s="26"/>
      <x:c r="K131" s="26"/>
      <x:c r="L131" s="26"/>
      <x:c r="M131" s="26"/>
      <x:c r="N131" s="26"/>
      <x:c r="O131" s="26"/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6"/>
    </x:row>
    <x:row r="132">
      <x:c r="A132" s="26"/>
      <x:c r="B132" s="26"/>
      <x:c r="C132" s="26"/>
      <x:c r="D132" s="26"/>
      <x:c r="E132" s="26"/>
      <x:c r="F132" s="26"/>
      <x:c r="G132" s="26"/>
      <x:c r="H132" s="26"/>
      <x:c r="I132" s="26"/>
      <x:c r="J132" s="26"/>
      <x:c r="K132" s="26"/>
      <x:c r="L132" s="26"/>
      <x:c r="M132" s="26"/>
      <x:c r="N132" s="26"/>
      <x:c r="O132" s="26"/>
      <x:c r="P132" s="26"/>
      <x:c r="Q132" s="26"/>
      <x:c r="R132" s="26"/>
      <x:c r="S132" s="26"/>
      <x:c r="T132" s="26"/>
      <x:c r="U132" s="26"/>
      <x:c r="V132" s="26"/>
      <x:c r="W132" s="26"/>
      <x:c r="X132" s="26"/>
      <x:c r="Y132" s="26"/>
      <x:c r="Z132" s="26"/>
    </x:row>
    <x:row r="133">
      <x:c r="A133" s="26"/>
      <x:c r="B133" s="26"/>
      <x:c r="C133" s="26"/>
      <x:c r="D133" s="26"/>
      <x:c r="E133" s="26"/>
      <x:c r="F133" s="26"/>
      <x:c r="G133" s="26"/>
      <x:c r="H133" s="26"/>
      <x:c r="I133" s="26"/>
      <x:c r="J133" s="26"/>
      <x:c r="K133" s="26"/>
      <x:c r="L133" s="26"/>
      <x:c r="M133" s="26"/>
      <x:c r="N133" s="26"/>
      <x:c r="O133" s="26"/>
      <x:c r="P133" s="26"/>
      <x:c r="Q133" s="26"/>
      <x:c r="R133" s="26"/>
      <x:c r="S133" s="26"/>
      <x:c r="T133" s="26"/>
      <x:c r="U133" s="26"/>
      <x:c r="V133" s="26"/>
      <x:c r="W133" s="26"/>
      <x:c r="X133" s="26"/>
      <x:c r="Y133" s="26"/>
      <x:c r="Z133" s="26"/>
    </x:row>
    <x:row r="134">
      <x:c r="A134" s="26"/>
      <x:c r="B134" s="26"/>
      <x:c r="C134" s="26"/>
      <x:c r="D134" s="26"/>
      <x:c r="E134" s="26"/>
      <x:c r="F134" s="26"/>
      <x:c r="G134" s="26"/>
      <x:c r="H134" s="26"/>
      <x:c r="I134" s="26"/>
      <x:c r="J134" s="26"/>
      <x:c r="K134" s="26"/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6"/>
    </x:row>
    <x:row r="135">
      <x:c r="A135" s="26"/>
      <x:c r="B135" s="26"/>
      <x:c r="C135" s="26"/>
      <x:c r="D135" s="26"/>
      <x:c r="E135" s="26"/>
      <x:c r="F135" s="26"/>
      <x:c r="G135" s="26"/>
      <x:c r="H135" s="26"/>
      <x:c r="I135" s="26"/>
      <x:c r="J135" s="26"/>
      <x:c r="K135" s="26"/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</x:row>
    <x:row r="136">
      <x:c r="A136" s="26"/>
      <x:c r="B136" s="26"/>
      <x:c r="C136" s="26"/>
      <x:c r="D136" s="26"/>
      <x:c r="E136" s="26"/>
      <x:c r="F136" s="26"/>
      <x:c r="G136" s="26"/>
      <x:c r="H136" s="26"/>
      <x:c r="I136" s="26"/>
      <x:c r="J136" s="26"/>
      <x:c r="K136" s="26"/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</x:row>
    <x:row r="137">
      <x:c r="A137" s="26"/>
      <x:c r="B137" s="26"/>
      <x:c r="C137" s="26"/>
      <x:c r="D137" s="26"/>
      <x:c r="E137" s="26"/>
      <x:c r="F137" s="26"/>
      <x:c r="G137" s="26"/>
      <x:c r="H137" s="26"/>
      <x:c r="I137" s="26"/>
      <x:c r="J137" s="26"/>
      <x:c r="K137" s="26"/>
      <x:c r="L137" s="26"/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</x:row>
    <x:row r="138">
      <x:c r="A138" s="26"/>
      <x:c r="B138" s="26"/>
      <x:c r="C138" s="26"/>
      <x:c r="D138" s="26"/>
      <x:c r="E138" s="26"/>
      <x:c r="F138" s="26"/>
      <x:c r="G138" s="26"/>
      <x:c r="H138" s="26"/>
      <x:c r="I138" s="26"/>
      <x:c r="J138" s="26"/>
      <x:c r="K138" s="26"/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</x:row>
    <x:row r="139">
      <x:c r="A139" s="26"/>
      <x:c r="B139" s="26"/>
      <x:c r="C139" s="26"/>
      <x:c r="D139" s="26"/>
      <x:c r="E139" s="26"/>
      <x:c r="F139" s="26"/>
      <x:c r="G139" s="26"/>
      <x:c r="H139" s="26"/>
      <x:c r="I139" s="26"/>
      <x:c r="J139" s="26"/>
      <x:c r="K139" s="26"/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</x:row>
    <x:row r="140">
      <x:c r="A140" s="26"/>
      <x:c r="B140" s="26"/>
      <x:c r="C140" s="26"/>
      <x:c r="D140" s="26"/>
      <x:c r="E140" s="26"/>
      <x:c r="F140" s="26"/>
      <x:c r="G140" s="26"/>
      <x:c r="H140" s="26"/>
      <x:c r="I140" s="26"/>
      <x:c r="J140" s="26"/>
      <x:c r="K140" s="26"/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</x:row>
    <x:row r="141">
      <x:c r="A141" s="26"/>
      <x:c r="B141" s="26"/>
      <x:c r="C141" s="26"/>
      <x:c r="D141" s="26"/>
      <x:c r="E141" s="26"/>
      <x:c r="F141" s="26"/>
      <x:c r="G141" s="26"/>
      <x:c r="H141" s="26"/>
      <x:c r="I141" s="26"/>
      <x:c r="J141" s="26"/>
      <x:c r="K141" s="26"/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</x:row>
    <x:row r="142">
      <x:c r="A142" s="26"/>
      <x:c r="B142" s="26"/>
      <x:c r="C142" s="26"/>
      <x:c r="D142" s="26"/>
      <x:c r="E142" s="26"/>
      <x:c r="F142" s="26"/>
      <x:c r="G142" s="26"/>
      <x:c r="H142" s="26"/>
      <x:c r="I142" s="26"/>
      <x:c r="J142" s="26"/>
      <x:c r="K142" s="26"/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/>
      <x:c r="Z142" s="26"/>
    </x:row>
    <x:row r="143">
      <x:c r="A143" s="26"/>
      <x:c r="B143" s="26"/>
      <x:c r="C143" s="26"/>
      <x:c r="D143" s="26"/>
      <x:c r="E143" s="26"/>
      <x:c r="F143" s="26"/>
      <x:c r="G143" s="26"/>
      <x:c r="H143" s="26"/>
      <x:c r="I143" s="26"/>
      <x:c r="J143" s="26"/>
      <x:c r="K143" s="26"/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</x:row>
    <x:row r="144">
      <x:c r="A144" s="26"/>
      <x:c r="B144" s="26"/>
      <x:c r="C144" s="26"/>
      <x:c r="D144" s="26"/>
      <x:c r="E144" s="26"/>
      <x:c r="F144" s="26"/>
      <x:c r="G144" s="26"/>
      <x:c r="H144" s="26"/>
      <x:c r="I144" s="26"/>
      <x:c r="J144" s="26"/>
      <x:c r="K144" s="26"/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</x:row>
    <x:row r="145">
      <x:c r="A145" s="26"/>
      <x:c r="B145" s="26"/>
      <x:c r="C145" s="26"/>
      <x:c r="D145" s="26"/>
      <x:c r="E145" s="26"/>
      <x:c r="F145" s="26"/>
      <x:c r="G145" s="26"/>
      <x:c r="H145" s="26"/>
      <x:c r="I145" s="26"/>
      <x:c r="J145" s="26"/>
      <x:c r="K145" s="26"/>
      <x:c r="L145" s="26"/>
      <x:c r="M145" s="26"/>
      <x:c r="N145" s="26"/>
      <x:c r="O145" s="26"/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6"/>
    </x:row>
    <x:row r="146">
      <x:c r="A146" s="26"/>
      <x:c r="B146" s="26"/>
      <x:c r="C146" s="26"/>
      <x:c r="D146" s="26"/>
      <x:c r="E146" s="26"/>
      <x:c r="F146" s="26"/>
      <x:c r="G146" s="26"/>
      <x:c r="H146" s="26"/>
      <x:c r="I146" s="26"/>
      <x:c r="J146" s="26"/>
      <x:c r="K146" s="26"/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6"/>
    </x:row>
    <x:row r="147">
      <x:c r="A147" s="26"/>
      <x:c r="B147" s="26"/>
      <x:c r="C147" s="26"/>
      <x:c r="D147" s="26"/>
      <x:c r="E147" s="26"/>
      <x:c r="F147" s="26"/>
      <x:c r="G147" s="26"/>
      <x:c r="H147" s="26"/>
      <x:c r="I147" s="26"/>
      <x:c r="J147" s="26"/>
      <x:c r="K147" s="26"/>
      <x:c r="L147" s="26"/>
      <x:c r="M147" s="26"/>
      <x:c r="N147" s="26"/>
      <x:c r="O147" s="26"/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6"/>
    </x:row>
    <x:row r="148">
      <x:c r="A148" s="26"/>
      <x:c r="B148" s="26"/>
      <x:c r="C148" s="26"/>
      <x:c r="D148" s="26"/>
      <x:c r="E148" s="26"/>
      <x:c r="F148" s="26"/>
      <x:c r="G148" s="26"/>
      <x:c r="H148" s="26"/>
      <x:c r="I148" s="26"/>
      <x:c r="J148" s="26"/>
      <x:c r="K148" s="26"/>
      <x:c r="L148" s="26"/>
      <x:c r="M148" s="26"/>
      <x:c r="N148" s="26"/>
      <x:c r="O148" s="26"/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6"/>
    </x:row>
    <x:row r="149">
      <x:c r="A149" s="26"/>
      <x:c r="B149" s="26"/>
      <x:c r="C149" s="26"/>
      <x:c r="D149" s="26"/>
      <x:c r="E149" s="26"/>
      <x:c r="F149" s="26"/>
      <x:c r="G149" s="26"/>
      <x:c r="H149" s="26"/>
      <x:c r="I149" s="26"/>
      <x:c r="J149" s="26"/>
      <x:c r="K149" s="26"/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6"/>
    </x:row>
    <x:row r="150">
      <x:c r="A150" s="26"/>
      <x:c r="B150" s="26"/>
      <x:c r="C150" s="26"/>
      <x:c r="D150" s="26"/>
      <x:c r="E150" s="26"/>
      <x:c r="F150" s="26"/>
      <x:c r="G150" s="26"/>
      <x:c r="H150" s="26"/>
      <x:c r="I150" s="26"/>
      <x:c r="J150" s="26"/>
      <x:c r="K150" s="26"/>
      <x:c r="L150" s="26"/>
      <x:c r="M150" s="26"/>
      <x:c r="N150" s="26"/>
      <x:c r="O150" s="26"/>
      <x:c r="P150" s="26"/>
      <x:c r="Q150" s="26"/>
      <x:c r="R150" s="26"/>
      <x:c r="S150" s="26"/>
      <x:c r="T150" s="26"/>
      <x:c r="U150" s="26"/>
      <x:c r="V150" s="26"/>
      <x:c r="W150" s="26"/>
      <x:c r="X150" s="26"/>
      <x:c r="Y150" s="26"/>
      <x:c r="Z150" s="26"/>
    </x:row>
    <x:row r="151">
      <x:c r="A151" s="26"/>
      <x:c r="B151" s="26"/>
      <x:c r="C151" s="26"/>
      <x:c r="D151" s="26"/>
      <x:c r="E151" s="26"/>
      <x:c r="F151" s="26"/>
      <x:c r="G151" s="26"/>
      <x:c r="H151" s="26"/>
      <x:c r="I151" s="26"/>
      <x:c r="J151" s="26"/>
      <x:c r="K151" s="26"/>
      <x:c r="L151" s="26"/>
      <x:c r="M151" s="26"/>
      <x:c r="N151" s="26"/>
      <x:c r="O151" s="26"/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/>
      <x:c r="Z151" s="26"/>
    </x:row>
    <x:row r="152">
      <x:c r="A152" s="26"/>
      <x:c r="B152" s="26"/>
      <x:c r="C152" s="26"/>
      <x:c r="D152" s="26"/>
      <x:c r="E152" s="26"/>
      <x:c r="F152" s="26"/>
      <x:c r="G152" s="26"/>
      <x:c r="H152" s="26"/>
      <x:c r="I152" s="26"/>
      <x:c r="J152" s="26"/>
      <x:c r="K152" s="26"/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/>
      <x:c r="W152" s="26"/>
      <x:c r="X152" s="26"/>
      <x:c r="Y152" s="26"/>
      <x:c r="Z152" s="26"/>
    </x:row>
    <x:row r="153">
      <x:c r="A153" s="26"/>
      <x:c r="B153" s="26"/>
      <x:c r="C153" s="26"/>
      <x:c r="D153" s="26"/>
      <x:c r="E153" s="26"/>
      <x:c r="F153" s="26"/>
      <x:c r="G153" s="26"/>
      <x:c r="H153" s="26"/>
      <x:c r="I153" s="26"/>
      <x:c r="J153" s="26"/>
      <x:c r="K153" s="26"/>
      <x:c r="L153" s="26"/>
      <x:c r="M153" s="26"/>
      <x:c r="N153" s="26"/>
      <x:c r="O153" s="26"/>
      <x:c r="P153" s="26"/>
      <x:c r="Q153" s="26"/>
      <x:c r="R153" s="26"/>
      <x:c r="S153" s="26"/>
      <x:c r="T153" s="26"/>
      <x:c r="U153" s="26"/>
      <x:c r="V153" s="26"/>
      <x:c r="W153" s="26"/>
      <x:c r="X153" s="26"/>
      <x:c r="Y153" s="26"/>
      <x:c r="Z153" s="26"/>
    </x:row>
    <x:row r="154">
      <x:c r="A154" s="26"/>
      <x:c r="B154" s="26"/>
      <x:c r="C154" s="26"/>
      <x:c r="D154" s="26"/>
      <x:c r="E154" s="26"/>
      <x:c r="F154" s="26"/>
      <x:c r="G154" s="26"/>
      <x:c r="H154" s="26"/>
      <x:c r="I154" s="26"/>
      <x:c r="J154" s="26"/>
      <x:c r="K154" s="26"/>
      <x:c r="L154" s="26"/>
      <x:c r="M154" s="26"/>
      <x:c r="N154" s="26"/>
      <x:c r="O154" s="26"/>
      <x:c r="P154" s="26"/>
      <x:c r="Q154" s="26"/>
      <x:c r="R154" s="26"/>
      <x:c r="S154" s="26"/>
      <x:c r="T154" s="26"/>
      <x:c r="U154" s="26"/>
      <x:c r="V154" s="26"/>
      <x:c r="W154" s="26"/>
      <x:c r="X154" s="26"/>
      <x:c r="Y154" s="26"/>
      <x:c r="Z154" s="26"/>
    </x:row>
    <x:row r="155">
      <x:c r="A155" s="26"/>
      <x:c r="B155" s="26"/>
      <x:c r="C155" s="26"/>
      <x:c r="D155" s="26"/>
      <x:c r="E155" s="26"/>
      <x:c r="F155" s="26"/>
      <x:c r="G155" s="26"/>
      <x:c r="H155" s="26"/>
      <x:c r="I155" s="26"/>
      <x:c r="J155" s="26"/>
      <x:c r="K155" s="26"/>
      <x:c r="L155" s="26"/>
      <x:c r="M155" s="26"/>
      <x:c r="N155" s="26"/>
      <x:c r="O155" s="26"/>
      <x:c r="P155" s="26"/>
      <x:c r="Q155" s="26"/>
      <x:c r="R155" s="26"/>
      <x:c r="S155" s="26"/>
      <x:c r="T155" s="26"/>
      <x:c r="U155" s="26"/>
      <x:c r="V155" s="26"/>
      <x:c r="W155" s="26"/>
      <x:c r="X155" s="26"/>
      <x:c r="Y155" s="26"/>
      <x:c r="Z155" s="26"/>
    </x:row>
    <x:row r="156">
      <x:c r="A156" s="26"/>
      <x:c r="B156" s="26"/>
      <x:c r="C156" s="26"/>
      <x:c r="D156" s="26"/>
      <x:c r="E156" s="26"/>
      <x:c r="F156" s="26"/>
      <x:c r="G156" s="26"/>
      <x:c r="H156" s="26"/>
      <x:c r="I156" s="26"/>
      <x:c r="J156" s="26"/>
      <x:c r="K156" s="26"/>
      <x:c r="L156" s="26"/>
      <x:c r="M156" s="26"/>
      <x:c r="N156" s="26"/>
      <x:c r="O156" s="26"/>
      <x:c r="P156" s="26"/>
      <x:c r="Q156" s="26"/>
      <x:c r="R156" s="26"/>
      <x:c r="S156" s="26"/>
      <x:c r="T156" s="26"/>
      <x:c r="U156" s="26"/>
      <x:c r="V156" s="26"/>
      <x:c r="W156" s="26"/>
      <x:c r="X156" s="26"/>
      <x:c r="Y156" s="26"/>
      <x:c r="Z156" s="26"/>
    </x:row>
    <x:row r="157">
      <x:c r="A157" s="26"/>
      <x:c r="B157" s="26"/>
      <x:c r="C157" s="26"/>
      <x:c r="D157" s="26"/>
      <x:c r="E157" s="26"/>
      <x:c r="F157" s="26"/>
      <x:c r="G157" s="26"/>
      <x:c r="H157" s="26"/>
      <x:c r="I157" s="26"/>
      <x:c r="J157" s="26"/>
      <x:c r="K157" s="26"/>
      <x:c r="L157" s="26"/>
      <x:c r="M157" s="26"/>
      <x:c r="N157" s="26"/>
      <x:c r="O157" s="26"/>
      <x:c r="P157" s="26"/>
      <x:c r="Q157" s="26"/>
      <x:c r="R157" s="26"/>
      <x:c r="S157" s="26"/>
      <x:c r="T157" s="26"/>
      <x:c r="U157" s="26"/>
      <x:c r="V157" s="26"/>
      <x:c r="W157" s="26"/>
      <x:c r="X157" s="26"/>
      <x:c r="Y157" s="26"/>
      <x:c r="Z157" s="26"/>
    </x:row>
    <x:row r="158">
      <x:c r="A158" s="26"/>
      <x:c r="B158" s="26"/>
      <x:c r="C158" s="26"/>
      <x:c r="D158" s="26"/>
      <x:c r="E158" s="26"/>
      <x:c r="F158" s="26"/>
      <x:c r="G158" s="26"/>
      <x:c r="H158" s="26"/>
      <x:c r="I158" s="26"/>
      <x:c r="J158" s="26"/>
      <x:c r="K158" s="26"/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</x:row>
    <x:row r="159">
      <x:c r="A159" s="26"/>
      <x:c r="B159" s="26"/>
      <x:c r="C159" s="26"/>
      <x:c r="D159" s="26"/>
      <x:c r="E159" s="26"/>
      <x:c r="F159" s="26"/>
      <x:c r="G159" s="26"/>
      <x:c r="H159" s="26"/>
      <x:c r="I159" s="26"/>
      <x:c r="J159" s="26"/>
      <x:c r="K159" s="26"/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</x:row>
    <x:row r="160">
      <x:c r="A160" s="26"/>
      <x:c r="B160" s="26"/>
      <x:c r="C160" s="26"/>
      <x:c r="D160" s="26"/>
      <x:c r="E160" s="26"/>
      <x:c r="F160" s="26"/>
      <x:c r="G160" s="26"/>
      <x:c r="H160" s="26"/>
      <x:c r="I160" s="26"/>
      <x:c r="J160" s="26"/>
      <x:c r="K160" s="26"/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</x:row>
    <x:row r="161">
      <x:c r="A161" s="26"/>
      <x:c r="B161" s="26"/>
      <x:c r="C161" s="26"/>
      <x:c r="D161" s="26"/>
      <x:c r="E161" s="26"/>
      <x:c r="F161" s="26"/>
      <x:c r="G161" s="26"/>
      <x:c r="H161" s="26"/>
      <x:c r="I161" s="26"/>
      <x:c r="J161" s="26"/>
      <x:c r="K161" s="26"/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</x:row>
    <x:row r="162">
      <x:c r="A162" s="26"/>
      <x:c r="B162" s="26"/>
      <x:c r="C162" s="26"/>
      <x:c r="D162" s="26"/>
      <x:c r="E162" s="26"/>
      <x:c r="F162" s="26"/>
      <x:c r="G162" s="26"/>
      <x:c r="H162" s="26"/>
      <x:c r="I162" s="26"/>
      <x:c r="J162" s="26"/>
      <x:c r="K162" s="26"/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</x:row>
    <x:row r="163">
      <x:c r="A163" s="26"/>
      <x:c r="B163" s="26"/>
      <x:c r="C163" s="26"/>
      <x:c r="D163" s="26"/>
      <x:c r="E163" s="26"/>
      <x:c r="F163" s="26"/>
      <x:c r="G163" s="26"/>
      <x:c r="H163" s="26"/>
      <x:c r="I163" s="26"/>
      <x:c r="J163" s="26"/>
      <x:c r="K163" s="26"/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</x:row>
    <x:row r="164">
      <x:c r="A164" s="26"/>
      <x:c r="B164" s="26"/>
      <x:c r="C164" s="26"/>
      <x:c r="D164" s="26"/>
      <x:c r="E164" s="26"/>
      <x:c r="F164" s="26"/>
      <x:c r="G164" s="26"/>
      <x:c r="H164" s="26"/>
      <x:c r="I164" s="26"/>
      <x:c r="J164" s="26"/>
      <x:c r="K164" s="26"/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</x:row>
    <x:row r="165">
      <x:c r="A165" s="26"/>
      <x:c r="B165" s="26"/>
      <x:c r="C165" s="26"/>
      <x:c r="D165" s="26"/>
      <x:c r="E165" s="26"/>
      <x:c r="F165" s="26"/>
      <x:c r="G165" s="26"/>
      <x:c r="H165" s="26"/>
      <x:c r="I165" s="26"/>
      <x:c r="J165" s="26"/>
      <x:c r="K165" s="26"/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</x:row>
    <x:row r="166">
      <x:c r="A166" s="26"/>
      <x:c r="B166" s="26"/>
      <x:c r="C166" s="26"/>
      <x:c r="D166" s="26"/>
      <x:c r="E166" s="26"/>
      <x:c r="F166" s="26"/>
      <x:c r="G166" s="26"/>
      <x:c r="H166" s="26"/>
      <x:c r="I166" s="26"/>
      <x:c r="J166" s="26"/>
      <x:c r="K166" s="26"/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</x:row>
    <x:row r="167">
      <x:c r="A167" s="26"/>
      <x:c r="B167" s="26"/>
      <x:c r="C167" s="26"/>
      <x:c r="D167" s="26"/>
      <x:c r="E167" s="26"/>
      <x:c r="F167" s="26"/>
      <x:c r="G167" s="26"/>
      <x:c r="H167" s="26"/>
      <x:c r="I167" s="26"/>
      <x:c r="J167" s="26"/>
      <x:c r="K167" s="26"/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</x:row>
    <x:row r="168">
      <x:c r="A168" s="26"/>
      <x:c r="B168" s="26"/>
      <x:c r="C168" s="26"/>
      <x:c r="D168" s="26"/>
      <x:c r="E168" s="26"/>
      <x:c r="F168" s="26"/>
      <x:c r="G168" s="26"/>
      <x:c r="H168" s="26"/>
      <x:c r="I168" s="26"/>
      <x:c r="J168" s="26"/>
      <x:c r="K168" s="26"/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</x:row>
    <x:row r="169">
      <x:c r="A169" s="26"/>
      <x:c r="B169" s="26"/>
      <x:c r="C169" s="26"/>
      <x:c r="D169" s="26"/>
      <x:c r="E169" s="26"/>
      <x:c r="F169" s="26"/>
      <x:c r="G169" s="26"/>
      <x:c r="H169" s="26"/>
      <x:c r="I169" s="26"/>
      <x:c r="J169" s="26"/>
      <x:c r="K169" s="26"/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</x:row>
    <x:row r="170">
      <x:c r="A170" s="26"/>
      <x:c r="B170" s="26"/>
      <x:c r="C170" s="26"/>
      <x:c r="D170" s="26"/>
      <x:c r="E170" s="26"/>
      <x:c r="F170" s="26"/>
      <x:c r="G170" s="26"/>
      <x:c r="H170" s="26"/>
      <x:c r="I170" s="26"/>
      <x:c r="J170" s="26"/>
      <x:c r="K170" s="26"/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</x:row>
    <x:row r="171">
      <x:c r="A171" s="26"/>
      <x:c r="B171" s="26"/>
      <x:c r="C171" s="26"/>
      <x:c r="D171" s="26"/>
      <x:c r="E171" s="26"/>
      <x:c r="F171" s="26"/>
      <x:c r="G171" s="26"/>
      <x:c r="H171" s="26"/>
      <x:c r="I171" s="26"/>
      <x:c r="J171" s="26"/>
      <x:c r="K171" s="26"/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</x:row>
    <x:row r="172">
      <x:c r="A172" s="26"/>
      <x:c r="B172" s="26"/>
      <x:c r="C172" s="26"/>
      <x:c r="D172" s="26"/>
      <x:c r="E172" s="26"/>
      <x:c r="F172" s="26"/>
      <x:c r="G172" s="26"/>
      <x:c r="H172" s="26"/>
      <x:c r="I172" s="26"/>
      <x:c r="J172" s="26"/>
      <x:c r="K172" s="26"/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</x:row>
    <x:row r="173">
      <x:c r="A173" s="26"/>
      <x:c r="B173" s="26"/>
      <x:c r="C173" s="26"/>
      <x:c r="D173" s="26"/>
      <x:c r="E173" s="26"/>
      <x:c r="F173" s="26"/>
      <x:c r="G173" s="26"/>
      <x:c r="H173" s="26"/>
      <x:c r="I173" s="26"/>
      <x:c r="J173" s="26"/>
      <x:c r="K173" s="26"/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</x:row>
    <x:row r="174">
      <x:c r="A174" s="26"/>
      <x:c r="B174" s="26"/>
      <x:c r="C174" s="26"/>
      <x:c r="D174" s="26"/>
      <x:c r="E174" s="26"/>
      <x:c r="F174" s="26"/>
      <x:c r="G174" s="26"/>
      <x:c r="H174" s="26"/>
      <x:c r="I174" s="26"/>
      <x:c r="J174" s="26"/>
      <x:c r="K174" s="26"/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</x:row>
    <x:row r="175">
      <x:c r="A175" s="26"/>
      <x:c r="B175" s="26"/>
      <x:c r="C175" s="26"/>
      <x:c r="D175" s="26"/>
      <x:c r="E175" s="26"/>
      <x:c r="F175" s="26"/>
      <x:c r="G175" s="26"/>
      <x:c r="H175" s="26"/>
      <x:c r="I175" s="26"/>
      <x:c r="J175" s="26"/>
      <x:c r="K175" s="26"/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</x:row>
    <x:row r="176">
      <x:c r="A176" s="26"/>
      <x:c r="B176" s="26"/>
      <x:c r="C176" s="26"/>
      <x:c r="D176" s="26"/>
      <x:c r="E176" s="26"/>
      <x:c r="F176" s="26"/>
      <x:c r="G176" s="26"/>
      <x:c r="H176" s="26"/>
      <x:c r="I176" s="26"/>
      <x:c r="J176" s="26"/>
      <x:c r="K176" s="26"/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</x:row>
    <x:row r="177">
      <x:c r="A177" s="26"/>
      <x:c r="B177" s="26"/>
      <x:c r="C177" s="26"/>
      <x:c r="D177" s="26"/>
      <x:c r="E177" s="26"/>
      <x:c r="F177" s="26"/>
      <x:c r="G177" s="26"/>
      <x:c r="H177" s="26"/>
      <x:c r="I177" s="26"/>
      <x:c r="J177" s="26"/>
      <x:c r="K177" s="26"/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</x:row>
    <x:row r="178">
      <x:c r="A178" s="26"/>
      <x:c r="B178" s="26"/>
      <x:c r="C178" s="26"/>
      <x:c r="D178" s="26"/>
      <x:c r="E178" s="26"/>
      <x:c r="F178" s="26"/>
      <x:c r="G178" s="26"/>
      <x:c r="H178" s="26"/>
      <x:c r="I178" s="26"/>
      <x:c r="J178" s="26"/>
      <x:c r="K178" s="26"/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</x:row>
    <x:row r="179">
      <x:c r="A179" s="26"/>
      <x:c r="B179" s="26"/>
      <x:c r="C179" s="26"/>
      <x:c r="D179" s="26"/>
      <x:c r="E179" s="26"/>
      <x:c r="F179" s="26"/>
      <x:c r="G179" s="26"/>
      <x:c r="H179" s="26"/>
      <x:c r="I179" s="26"/>
      <x:c r="J179" s="26"/>
      <x:c r="K179" s="26"/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</x:row>
    <x:row r="180">
      <x:c r="A180" s="26"/>
      <x:c r="B180" s="26"/>
      <x:c r="C180" s="26"/>
      <x:c r="D180" s="26"/>
      <x:c r="E180" s="26"/>
      <x:c r="F180" s="26"/>
      <x:c r="G180" s="26"/>
      <x:c r="H180" s="26"/>
      <x:c r="I180" s="26"/>
      <x:c r="J180" s="26"/>
      <x:c r="K180" s="26"/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</x:row>
    <x:row r="181">
      <x:c r="A181" s="26"/>
      <x:c r="B181" s="26"/>
      <x:c r="C181" s="26"/>
      <x:c r="D181" s="26"/>
      <x:c r="E181" s="26"/>
      <x:c r="F181" s="26"/>
      <x:c r="G181" s="26"/>
      <x:c r="H181" s="26"/>
      <x:c r="I181" s="26"/>
      <x:c r="J181" s="26"/>
      <x:c r="K181" s="26"/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</x:row>
    <x:row r="182">
      <x:c r="A182" s="26"/>
      <x:c r="B182" s="26"/>
      <x:c r="C182" s="26"/>
      <x:c r="D182" s="26"/>
      <x:c r="E182" s="26"/>
      <x:c r="F182" s="26"/>
      <x:c r="G182" s="26"/>
      <x:c r="H182" s="26"/>
      <x:c r="I182" s="26"/>
      <x:c r="J182" s="26"/>
      <x:c r="K182" s="26"/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</x:row>
    <x:row r="183">
      <x:c r="A183" s="26"/>
      <x:c r="B183" s="26"/>
      <x:c r="C183" s="26"/>
      <x:c r="D183" s="26"/>
      <x:c r="E183" s="26"/>
      <x:c r="F183" s="26"/>
      <x:c r="G183" s="26"/>
      <x:c r="H183" s="26"/>
      <x:c r="I183" s="26"/>
      <x:c r="J183" s="26"/>
      <x:c r="K183" s="26"/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</x:row>
    <x:row r="184">
      <x:c r="A184" s="26"/>
      <x:c r="B184" s="26"/>
      <x:c r="C184" s="26"/>
      <x:c r="D184" s="26"/>
      <x:c r="E184" s="26"/>
      <x:c r="F184" s="26"/>
      <x:c r="G184" s="26"/>
      <x:c r="H184" s="26"/>
      <x:c r="I184" s="26"/>
      <x:c r="J184" s="26"/>
      <x:c r="K184" s="26"/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</x:row>
    <x:row r="185">
      <x:c r="A185" s="26"/>
      <x:c r="B185" s="26"/>
      <x:c r="C185" s="26"/>
      <x:c r="D185" s="26"/>
      <x:c r="E185" s="26"/>
      <x:c r="F185" s="26"/>
      <x:c r="G185" s="26"/>
      <x:c r="H185" s="26"/>
      <x:c r="I185" s="26"/>
      <x:c r="J185" s="26"/>
      <x:c r="K185" s="26"/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</x:row>
    <x:row r="186">
      <x:c r="A186" s="26"/>
      <x:c r="B186" s="26"/>
      <x:c r="C186" s="26"/>
      <x:c r="D186" s="26"/>
      <x:c r="E186" s="26"/>
      <x:c r="F186" s="26"/>
      <x:c r="G186" s="26"/>
      <x:c r="H186" s="26"/>
      <x:c r="I186" s="26"/>
      <x:c r="J186" s="26"/>
      <x:c r="K186" s="26"/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</x:row>
    <x:row r="187">
      <x:c r="A187" s="26"/>
      <x:c r="B187" s="26"/>
      <x:c r="C187" s="26"/>
      <x:c r="D187" s="26"/>
      <x:c r="E187" s="26"/>
      <x:c r="F187" s="26"/>
      <x:c r="G187" s="26"/>
      <x:c r="H187" s="26"/>
      <x:c r="I187" s="26"/>
      <x:c r="J187" s="26"/>
      <x:c r="K187" s="26"/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</x:row>
    <x:row r="188">
      <x:c r="A188" s="26"/>
      <x:c r="B188" s="26"/>
      <x:c r="C188" s="26"/>
      <x:c r="D188" s="26"/>
      <x:c r="E188" s="26"/>
      <x:c r="F188" s="26"/>
      <x:c r="G188" s="26"/>
      <x:c r="H188" s="26"/>
      <x:c r="I188" s="26"/>
      <x:c r="J188" s="26"/>
      <x:c r="K188" s="26"/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</x:row>
    <x:row r="189">
      <x:c r="A189" s="26"/>
      <x:c r="B189" s="26"/>
      <x:c r="C189" s="26"/>
      <x:c r="D189" s="26"/>
      <x:c r="E189" s="26"/>
      <x:c r="F189" s="26"/>
      <x:c r="G189" s="26"/>
      <x:c r="H189" s="26"/>
      <x:c r="I189" s="26"/>
      <x:c r="J189" s="26"/>
      <x:c r="K189" s="26"/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</x:row>
    <x:row r="190">
      <x:c r="A190" s="26"/>
      <x:c r="B190" s="26"/>
      <x:c r="C190" s="26"/>
      <x:c r="D190" s="26"/>
      <x:c r="E190" s="26"/>
      <x:c r="F190" s="26"/>
      <x:c r="G190" s="26"/>
      <x:c r="H190" s="26"/>
      <x:c r="I190" s="26"/>
      <x:c r="J190" s="26"/>
      <x:c r="K190" s="26"/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</x:row>
    <x:row r="191">
      <x:c r="A191" s="26"/>
      <x:c r="B191" s="26"/>
      <x:c r="C191" s="26"/>
      <x:c r="D191" s="26"/>
      <x:c r="E191" s="26"/>
      <x:c r="F191" s="26"/>
      <x:c r="G191" s="26"/>
      <x:c r="H191" s="26"/>
      <x:c r="I191" s="26"/>
      <x:c r="J191" s="26"/>
      <x:c r="K191" s="26"/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</x:row>
    <x:row r="192">
      <x:c r="A192" s="26"/>
      <x:c r="B192" s="26"/>
      <x:c r="C192" s="26"/>
      <x:c r="D192" s="26"/>
      <x:c r="E192" s="26"/>
      <x:c r="F192" s="26"/>
      <x:c r="G192" s="26"/>
      <x:c r="H192" s="26"/>
      <x:c r="I192" s="26"/>
      <x:c r="J192" s="26"/>
      <x:c r="K192" s="26"/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</x:row>
    <x:row r="193">
      <x:c r="A193" s="26"/>
      <x:c r="B193" s="26"/>
      <x:c r="C193" s="26"/>
      <x:c r="D193" s="26"/>
      <x:c r="E193" s="26"/>
      <x:c r="F193" s="26"/>
      <x:c r="G193" s="26"/>
      <x:c r="H193" s="26"/>
      <x:c r="I193" s="26"/>
      <x:c r="J193" s="26"/>
      <x:c r="K193" s="26"/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</x:row>
    <x:row r="194">
      <x:c r="A194" s="26"/>
      <x:c r="B194" s="26"/>
      <x:c r="C194" s="26"/>
      <x:c r="D194" s="26"/>
      <x:c r="E194" s="26"/>
      <x:c r="F194" s="26"/>
      <x:c r="G194" s="26"/>
      <x:c r="H194" s="26"/>
      <x:c r="I194" s="26"/>
      <x:c r="J194" s="26"/>
      <x:c r="K194" s="26"/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</x:row>
    <x:row r="195">
      <x:c r="A195" s="26"/>
      <x:c r="B195" s="26"/>
      <x:c r="C195" s="26"/>
      <x:c r="D195" s="26"/>
      <x:c r="E195" s="26"/>
      <x:c r="F195" s="26"/>
      <x:c r="G195" s="26"/>
      <x:c r="H195" s="26"/>
      <x:c r="I195" s="26"/>
      <x:c r="J195" s="26"/>
      <x:c r="K195" s="26"/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</x:row>
    <x:row r="196">
      <x:c r="A196" s="26"/>
      <x:c r="B196" s="26"/>
      <x:c r="C196" s="26"/>
      <x:c r="D196" s="26"/>
      <x:c r="E196" s="26"/>
      <x:c r="F196" s="26"/>
      <x:c r="G196" s="26"/>
      <x:c r="H196" s="26"/>
      <x:c r="I196" s="26"/>
      <x:c r="J196" s="26"/>
      <x:c r="K196" s="26"/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</x:row>
    <x:row r="197">
      <x:c r="A197" s="26"/>
      <x:c r="B197" s="26"/>
      <x:c r="C197" s="26"/>
      <x:c r="D197" s="26"/>
      <x:c r="E197" s="26"/>
      <x:c r="F197" s="26"/>
      <x:c r="G197" s="26"/>
      <x:c r="H197" s="26"/>
      <x:c r="I197" s="26"/>
      <x:c r="J197" s="26"/>
      <x:c r="K197" s="26"/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</x:row>
    <x:row r="198">
      <x:c r="A198" s="26"/>
      <x:c r="B198" s="26"/>
      <x:c r="C198" s="26"/>
      <x:c r="D198" s="26"/>
      <x:c r="E198" s="26"/>
      <x:c r="F198" s="26"/>
      <x:c r="G198" s="26"/>
      <x:c r="H198" s="26"/>
      <x:c r="I198" s="26"/>
      <x:c r="J198" s="26"/>
      <x:c r="K198" s="26"/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</x:row>
    <x:row r="199">
      <x:c r="A199" s="26"/>
      <x:c r="B199" s="26"/>
      <x:c r="C199" s="26"/>
      <x:c r="D199" s="26"/>
      <x:c r="E199" s="26"/>
      <x:c r="F199" s="26"/>
      <x:c r="G199" s="26"/>
      <x:c r="H199" s="26"/>
      <x:c r="I199" s="26"/>
      <x:c r="J199" s="26"/>
      <x:c r="K199" s="26"/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</x:row>
    <x:row r="200">
      <x:c r="A200" s="26"/>
      <x:c r="B200" s="26"/>
      <x:c r="C200" s="26"/>
      <x:c r="D200" s="26"/>
      <x:c r="E200" s="26"/>
      <x:c r="F200" s="26"/>
      <x:c r="G200" s="26"/>
      <x:c r="H200" s="26"/>
      <x:c r="I200" s="26"/>
      <x:c r="J200" s="26"/>
      <x:c r="K200" s="26"/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</x:row>
  </x:sheetData>
  <x:mergeCells>
    <x:mergeCell ref="A1:H1"/>
  </x:mergeCells>
  <x:conditionalFormatting sqref="D4:D17">
    <x:cfRule type="expression" dxfId="0" priority="1">
      <x:formula>OR(D4="Danger",D4="Bad",D4="High",D4="Negative",D4="Not reached")</x:formula>
    </x:cfRule>
    <x:cfRule type="expression" dxfId="1" priority="2">
      <x:formula>OR(D4="Watch",D4="Weak","Below break-even")</x:formula>
    </x:cfRule>
    <x:cfRule type="expression" dxfId="2" priority="3">
      <x:formula>OR(D4="OK",D4="Healthy",D4="Reached","No burn")</x:formula>
    </x:cfRule>
  </x:conditionalFormatting>
  <x:pageMargins left="0.7" right="0.7" top="0.75" bottom="0.75" header="0.3" footer="0.3"/>
  <x:drawing xmlns:r="http://schemas.openxmlformats.org/officeDocument/2006/relationships" r:id="R6f7d23d6ac8b4cec"/>
  <x:tableParts count="1">
    <x:tablePart xmlns:r="http://schemas.openxmlformats.org/officeDocument/2006/relationships" r:id="R1d3a8e9a01af4a08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38" hidden="0" customWidth="1"/>
    <x:col min="4" max="4" width="38" hidden="0" customWidth="1"/>
    <x:col min="5" max="5" width="38" hidden="0" customWidth="1"/>
    <x:col min="6" max="6" width="24" hidden="0" customWidth="1"/>
  </x:cols>
  <x:sheetData>
    <x:row r="1" ht="28" customHeight="1">
      <x:c r="A1" s="50" t="str">
        <x:v>Warnings / Missing Data / Validation Priorities</x:v>
      </x:c>
      <x:c r="B1" s="50"/>
      <x:c r="C1" s="50"/>
      <x:c r="D1" s="50"/>
      <x:c r="E1" s="50"/>
      <x:c r="F1" s="50"/>
      <x:c r="G1" s="26"/>
      <x:c r="H1" s="26"/>
      <x:c r="I1" s="26"/>
      <x:c r="J1" s="26"/>
      <x:c r="K1" s="26"/>
      <x:c r="L1" s="26"/>
      <x:c r="M1" s="26"/>
      <x:c r="N1" s="26"/>
      <x:c r="O1" s="26"/>
      <x:c r="P1" s="26"/>
      <x:c r="Q1" s="26"/>
      <x:c r="R1" s="26"/>
      <x:c r="S1" s="26"/>
      <x:c r="T1" s="26"/>
      <x:c r="U1" s="26"/>
      <x:c r="V1" s="26"/>
      <x:c r="W1" s="26"/>
      <x:c r="X1" s="26"/>
      <x:c r="Y1" s="26"/>
      <x:c r="Z1" s="26"/>
    </x:row>
    <x:row r="2">
      <x:c r="A2" s="26"/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</x:row>
    <x:row r="3">
      <x:c r="A3" s="14" t="str">
        <x:v>type</x:v>
      </x:c>
      <x:c r="B3" s="14" t="str">
        <x:v>issue / hypothesis</x:v>
      </x:c>
      <x:c r="C3" s="14" t="str">
        <x:v>current model assumption</x:v>
      </x:c>
      <x:c r="D3" s="14" t="str">
        <x:v>risk</x:v>
      </x:c>
      <x:c r="E3" s="14" t="str">
        <x:v>how to validate</x:v>
      </x:c>
      <x:c r="F3" s="14" t="str">
        <x:v>priority</x:v>
      </x:c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</x:row>
    <x:row r="4">
      <x:c r="A4" s="26" t="str">
        <x:v>Missing data</x:v>
      </x:c>
      <x:c r="B4" s="26" t="str">
        <x:v>Exact number of reachable private family-camp organizers</x:v>
      </x:c>
      <x:c r="C4" s="26" t="str">
        <x:v>900 private organizers from user input</x:v>
      </x:c>
      <x:c r="D4" s="26" t="str">
        <x:v>Market may be much smaller or harder to reach</x:v>
      </x:c>
      <x:c r="E4" s="26" t="str">
        <x:v>Build list of 100 named organizers and classify by size/frequency</x:v>
      </x:c>
      <x:c r="F4" s="26" t="str">
        <x:v>High</x:v>
      </x:c>
      <x:c r="G4" s="26"/>
      <x:c r="H4" s="26"/>
      <x:c r="I4" s="26"/>
      <x:c r="J4" s="26"/>
      <x:c r="K4" s="26"/>
      <x:c r="L4" s="26"/>
      <x:c r="M4" s="26"/>
      <x:c r="N4" s="26"/>
      <x:c r="O4" s="26"/>
      <x:c r="P4" s="26"/>
      <x:c r="Q4" s="26"/>
      <x:c r="R4" s="26"/>
      <x:c r="S4" s="26"/>
      <x:c r="T4" s="26"/>
      <x:c r="U4" s="26"/>
      <x:c r="V4" s="26"/>
      <x:c r="W4" s="26"/>
      <x:c r="X4" s="26"/>
      <x:c r="Y4" s="26"/>
      <x:c r="Z4" s="26"/>
    </x:row>
    <x:row r="5">
      <x:c r="A5" s="26" t="str">
        <x:v>Missing data</x:v>
      </x:c>
      <x:c r="B5" s="26" t="str">
        <x:v>Real willingness to pay for 5,900–7,900 ₽/month or 29,900 ₽/season</x:v>
      </x:c>
      <x:c r="C5" s="26" t="str">
        <x:v>User-provided pricing range</x:v>
      </x:c>
      <x:c r="D5" s="26" t="str">
        <x:v>Could be too high for small organizers or too low for large ones</x:v>
      </x:c>
      <x:c r="E5" s="26" t="str">
        <x:v>Run 15–20 sales calls with price anchor and payment intent</x:v>
      </x:c>
      <x:c r="F5" s="26" t="str">
        <x:v>High</x:v>
      </x:c>
      <x:c r="G5" s="26"/>
      <x:c r="H5" s="26"/>
      <x:c r="I5" s="26"/>
      <x:c r="J5" s="26"/>
      <x:c r="K5" s="26"/>
      <x:c r="L5" s="26"/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>
      <x:c r="A6" s="26" t="str">
        <x:v>Assumption</x:v>
      </x:c>
      <x:c r="B6" s="26" t="str">
        <x:v>Activation = first family/card created</x:v>
      </x:c>
      <x:c r="C6" s="26" t="str">
        <x:v>55% in Base scenario</x:v>
      </x:c>
      <x:c r="D6" s="26" t="str">
        <x:v>Weak onboarding can kill paid conversion</x:v>
      </x:c>
      <x:c r="E6" s="26" t="str">
        <x:v>Measure time to first family card in MVP</x:v>
      </x:c>
      <x:c r="F6" s="26" t="str">
        <x:v>High</x:v>
      </x:c>
      <x:c r="G6" s="26"/>
      <x:c r="H6" s="26"/>
      <x:c r="I6" s="26"/>
      <x:c r="J6" s="26"/>
      <x:c r="K6" s="26"/>
      <x:c r="L6" s="26"/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/>
      <x:c r="X6" s="26"/>
      <x:c r="Y6" s="26"/>
      <x:c r="Z6" s="26"/>
    </x:row>
    <x:row r="7">
      <x:c r="A7" s="26" t="str">
        <x:v>Assumption</x:v>
      </x:c>
      <x:c r="B7" s="26" t="str">
        <x:v>Activation → paid conversion</x:v>
      </x:c>
      <x:c r="C7" s="26" t="str">
        <x:v>20% Base</x:v>
      </x:c>
      <x:c r="D7" s="26" t="str">
        <x:v>Niche B2B may be lower without strong onboarding</x:v>
      </x:c>
      <x:c r="E7" s="26" t="str">
        <x:v>Offer paid pilot: 29,900 ₽ season prepayment</x:v>
      </x:c>
      <x:c r="F7" s="26" t="str">
        <x:v>High</x:v>
      </x:c>
      <x:c r="G7" s="26"/>
      <x:c r="H7" s="26"/>
      <x:c r="I7" s="26"/>
      <x:c r="J7" s="26"/>
      <x:c r="K7" s="26"/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26"/>
      <x:c r="Z7" s="26"/>
    </x:row>
    <x:row r="8">
      <x:c r="A8" s="26" t="str">
        <x:v>Assumption</x:v>
      </x:c>
      <x:c r="B8" s="26" t="str">
        <x:v>Monthly churn</x:v>
      </x:c>
      <x:c r="C8" s="26" t="str">
        <x:v>5% Base</x:v>
      </x:c>
      <x:c r="D8" s="26" t="str">
        <x:v>Seasonal business may churn/rejoin, making classic SaaS churn misleading</x:v>
      </x:c>
      <x:c r="E8" s="26" t="str">
        <x:v>Track logo retention by season, not only month</x:v>
      </x:c>
      <x:c r="F8" s="26" t="str">
        <x:v>High</x:v>
      </x:c>
      <x:c r="G8" s="26"/>
      <x:c r="H8" s="26"/>
      <x:c r="I8" s="26"/>
      <x:c r="J8" s="26"/>
      <x:c r="K8" s="26"/>
      <x:c r="L8" s="26"/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/>
      <x:c r="X8" s="26"/>
      <x:c r="Y8" s="26"/>
      <x:c r="Z8" s="26"/>
    </x:row>
    <x:row r="9">
      <x:c r="A9" s="26" t="str">
        <x:v>Assumption</x:v>
      </x:c>
      <x:c r="B9" s="26" t="str">
        <x:v>CAC from Telegram/VK/Yandex</x:v>
      </x:c>
      <x:c r="C9" s="26" t="str">
        <x:v>Marketing + sales cost / new paid users</x:v>
      </x:c>
      <x:c r="D9" s="26" t="str">
        <x:v>Paid ads may be inefficient due to narrow ICP</x:v>
      </x:c>
      <x:c r="E9" s="26" t="str">
        <x:v>Separate CAC by channel and by qualified organizer</x:v>
      </x:c>
      <x:c r="F9" s="26" t="str">
        <x:v>High</x:v>
      </x:c>
      <x:c r="G9" s="26"/>
      <x:c r="H9" s="26"/>
      <x:c r="I9" s="26"/>
      <x:c r="J9" s="26"/>
      <x:c r="K9" s="26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26"/>
      <x:c r="Z9" s="26"/>
    </x:row>
    <x:row r="10">
      <x:c r="A10" s="26" t="str">
        <x:v>Warning</x:v>
      </x:c>
      <x:c r="B10" s="26" t="str">
        <x:v>Market size contradiction</x:v>
      </x:c>
      <x:c r="C10" s="26" t="str">
        <x:v>900 private organizers vs 29,000 camps</x:v>
      </x:c>
      <x:c r="D10" s="26" t="str">
        <x:v>Camps ≠ paying SaaS customers; TAM may be overstated</x:v>
      </x:c>
      <x:c r="E10" s="26" t="str">
        <x:v>Use bottom-up count: paying organizers × ARPA</x:v>
      </x:c>
      <x:c r="F10" s="26" t="str">
        <x:v>High</x:v>
      </x:c>
      <x:c r="G10" s="26"/>
      <x:c r="H10" s="26"/>
      <x:c r="I10" s="26"/>
      <x:c r="J10" s="26"/>
      <x:c r="K10" s="26"/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</x:row>
    <x:row r="11">
      <x:c r="A11" s="26" t="str">
        <x:v>Warning</x:v>
      </x:c>
      <x:c r="B11" s="26" t="str">
        <x:v>Payment processing fee included</x:v>
      </x:c>
      <x:c r="C11" s="26" t="str">
        <x:v>2.5% of revenue</x:v>
      </x:c>
      <x:c r="D11" s="26" t="str">
        <x:v>Only relevant if Tandora processes payments</x:v>
      </x:c>
      <x:c r="E11" s="26" t="str">
        <x:v>Separate no-payment vs payment-enabled model</x:v>
      </x:c>
      <x:c r="F11" s="26" t="str">
        <x:v>Medium</x:v>
      </x:c>
      <x:c r="G11" s="26"/>
      <x:c r="H11" s="26"/>
      <x:c r="I11" s="26"/>
      <x:c r="J11" s="26"/>
      <x:c r="K11" s="26"/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</x:row>
    <x:row r="12">
      <x:c r="A12" s="26" t="str">
        <x:v>Warning</x:v>
      </x:c>
      <x:c r="B12" s="26" t="str">
        <x:v>Support load may be underestimated</x:v>
      </x:c>
      <x:c r="C12" s="26" t="str">
        <x:v>0.6 h/user/month Base</x:v>
      </x:c>
      <x:c r="D12" s="26" t="str">
        <x:v>High-touch B2B onboarding can crush margins</x:v>
      </x:c>
      <x:c r="E12" s="26" t="str">
        <x:v>Log support minutes per account in pilot</x:v>
      </x:c>
      <x:c r="F12" s="26" t="str">
        <x:v>High</x:v>
      </x:c>
      <x:c r="G12" s="26"/>
      <x:c r="H12" s="26"/>
      <x:c r="I12" s="26"/>
      <x:c r="J12" s="26"/>
      <x:c r="K12" s="26"/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/>
      <x:c r="X12" s="26"/>
      <x:c r="Y12" s="26"/>
      <x:c r="Z12" s="26"/>
    </x:row>
    <x:row r="13">
      <x:c r="A13" s="26" t="str">
        <x:v>Validation</x:v>
      </x:c>
      <x:c r="B13" s="26" t="str">
        <x:v>Break-even depends mostly on ARPPU, churn, CAC, support cost</x:v>
      </x:c>
      <x:c r="C13" s="26" t="str">
        <x:v>Sensitivity sheet included</x:v>
      </x:c>
      <x:c r="D13" s="26" t="str">
        <x:v>Wrong pricing/retention breaks model quickly</x:v>
      </x:c>
      <x:c r="E13" s="26" t="str">
        <x:v>Run sensitivity monthly after real data</x:v>
      </x:c>
      <x:c r="F13" s="26" t="str">
        <x:v>High</x:v>
      </x:c>
      <x:c r="G13" s="26"/>
      <x:c r="H13" s="26"/>
      <x:c r="I13" s="26"/>
      <x:c r="J13" s="26"/>
      <x:c r="K13" s="26"/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</x:row>
    <x:row r="14">
      <x:c r="A14" s="26"/>
      <x:c r="B14" s="26"/>
      <x:c r="C14" s="26"/>
      <x:c r="D14" s="26"/>
      <x:c r="E14" s="26"/>
      <x:c r="F14" s="26"/>
      <x:c r="G14" s="26"/>
      <x:c r="H14" s="26"/>
      <x:c r="I14" s="26"/>
      <x:c r="J14" s="26"/>
      <x:c r="K14" s="26"/>
      <x:c r="L14" s="26"/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/>
      <x:c r="X14" s="26"/>
      <x:c r="Y14" s="26"/>
      <x:c r="Z14" s="26"/>
    </x:row>
    <x:row r="15">
      <x:c r="A15" s="26"/>
      <x:c r="B15" s="26"/>
      <x:c r="C15" s="26"/>
      <x:c r="D15" s="26"/>
      <x:c r="E15" s="26"/>
      <x:c r="F15" s="26"/>
      <x:c r="G15" s="26"/>
      <x:c r="H15" s="26"/>
      <x:c r="I15" s="26"/>
      <x:c r="J15" s="26"/>
      <x:c r="K15" s="26"/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</x:row>
    <x:row r="16">
      <x:c r="A16" s="26"/>
      <x:c r="B16" s="26"/>
      <x:c r="C16" s="26"/>
      <x:c r="D16" s="26"/>
      <x:c r="E16" s="26"/>
      <x:c r="F16" s="26"/>
      <x:c r="G16" s="26"/>
      <x:c r="H16" s="26"/>
      <x:c r="I16" s="26"/>
      <x:c r="J16" s="26"/>
      <x:c r="K16" s="26"/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</x:row>
    <x:row r="17">
      <x:c r="A17" s="26"/>
      <x:c r="B17" s="26"/>
      <x:c r="C17" s="26"/>
      <x:c r="D17" s="26"/>
      <x:c r="E17" s="26"/>
      <x:c r="F17" s="26"/>
      <x:c r="G17" s="26"/>
      <x:c r="H17" s="26"/>
      <x:c r="I17" s="26"/>
      <x:c r="J17" s="26"/>
      <x:c r="K17" s="26"/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</x:row>
    <x:row r="18">
      <x:c r="A18" s="26"/>
      <x:c r="B18" s="26"/>
      <x:c r="C18" s="26"/>
      <x:c r="D18" s="26"/>
      <x:c r="E18" s="26"/>
      <x:c r="F18" s="26"/>
      <x:c r="G18" s="26"/>
      <x:c r="H18" s="26"/>
      <x:c r="I18" s="26"/>
      <x:c r="J18" s="26"/>
      <x:c r="K18" s="26"/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</x:row>
    <x:row r="19">
      <x:c r="A19" s="26"/>
      <x:c r="B19" s="26"/>
      <x:c r="C19" s="26"/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>
      <x:c r="A20" s="26"/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>
      <x:c r="A21" s="26"/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>
      <x:c r="A22" s="26"/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>
      <x:c r="A23" s="26"/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>
      <x:c r="A24" s="26"/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>
      <x:c r="A25" s="26"/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>
      <x:c r="A26" s="26"/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>
      <x:c r="A27" s="26"/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>
      <x:c r="A28" s="26"/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>
      <x:c r="A29" s="26"/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>
      <x:c r="A30" s="26"/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>
      <x:c r="A31" s="26"/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>
      <x:c r="A32" s="26"/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>
      <x:c r="A33" s="26"/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</x:row>
    <x:row r="34">
      <x:c r="A34" s="26"/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</x:row>
    <x:row r="35">
      <x:c r="A35" s="26"/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</x:row>
    <x:row r="36">
      <x:c r="A36" s="26"/>
      <x:c r="B36" s="26"/>
      <x:c r="C36" s="26"/>
      <x:c r="D36" s="26"/>
      <x:c r="E36" s="26"/>
      <x:c r="F36" s="26"/>
      <x:c r="G36" s="26"/>
      <x:c r="H36" s="26"/>
      <x:c r="I36" s="26"/>
      <x:c r="J36" s="26"/>
      <x:c r="K36" s="26"/>
      <x:c r="L36" s="26"/>
      <x:c r="M36" s="26"/>
      <x:c r="N36" s="26"/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</x:row>
    <x:row r="37">
      <x:c r="A37" s="26"/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  <x:c r="L37" s="26"/>
      <x:c r="M37" s="26"/>
      <x:c r="N37" s="26"/>
      <x:c r="O37" s="26"/>
      <x:c r="P37" s="26"/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</x:row>
    <x:row r="38">
      <x:c r="A38" s="26"/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</x:row>
    <x:row r="39">
      <x:c r="A39" s="26"/>
      <x:c r="B39" s="26"/>
      <x:c r="C39" s="26"/>
      <x:c r="D39" s="26"/>
      <x:c r="E39" s="26"/>
      <x:c r="F39" s="26"/>
      <x:c r="G39" s="26"/>
      <x:c r="H39" s="26"/>
      <x:c r="I39" s="26"/>
      <x:c r="J39" s="26"/>
      <x:c r="K39" s="26"/>
      <x:c r="L39" s="26"/>
      <x:c r="M39" s="26"/>
      <x:c r="N39" s="26"/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</x:row>
    <x:row r="40">
      <x:c r="A40" s="26"/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  <x:c r="L40" s="26"/>
      <x:c r="M40" s="26"/>
      <x:c r="N40" s="26"/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</x:row>
    <x:row r="41">
      <x:c r="A41" s="26"/>
      <x:c r="B41" s="26"/>
      <x:c r="C41" s="26"/>
      <x:c r="D41" s="26"/>
      <x:c r="E41" s="26"/>
      <x:c r="F41" s="26"/>
      <x:c r="G41" s="26"/>
      <x:c r="H41" s="26"/>
      <x:c r="I41" s="26"/>
      <x:c r="J41" s="26"/>
      <x:c r="K41" s="26"/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</x:row>
    <x:row r="42">
      <x:c r="A42" s="26"/>
      <x:c r="B42" s="26"/>
      <x:c r="C42" s="26"/>
      <x:c r="D42" s="26"/>
      <x:c r="E42" s="26"/>
      <x:c r="F42" s="26"/>
      <x:c r="G42" s="26"/>
      <x:c r="H42" s="26"/>
      <x:c r="I42" s="26"/>
      <x:c r="J42" s="26"/>
      <x:c r="K42" s="26"/>
      <x:c r="L42" s="26"/>
      <x:c r="M42" s="26"/>
      <x:c r="N42" s="26"/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</x:row>
    <x:row r="43">
      <x:c r="A43" s="26"/>
      <x:c r="B43" s="26"/>
      <x:c r="C43" s="26"/>
      <x:c r="D43" s="26"/>
      <x:c r="E43" s="26"/>
      <x:c r="F43" s="26"/>
      <x:c r="G43" s="26"/>
      <x:c r="H43" s="26"/>
      <x:c r="I43" s="26"/>
      <x:c r="J43" s="26"/>
      <x:c r="K43" s="26"/>
      <x:c r="L43" s="26"/>
      <x:c r="M43" s="26"/>
      <x:c r="N43" s="26"/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</x:row>
    <x:row r="44">
      <x:c r="A44" s="26"/>
      <x:c r="B44" s="26"/>
      <x:c r="C44" s="26"/>
      <x:c r="D44" s="26"/>
      <x:c r="E44" s="26"/>
      <x:c r="F44" s="26"/>
      <x:c r="G44" s="26"/>
      <x:c r="H44" s="26"/>
      <x:c r="I44" s="26"/>
      <x:c r="J44" s="26"/>
      <x:c r="K44" s="26"/>
      <x:c r="L44" s="26"/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</x:row>
    <x:row r="45">
      <x:c r="A45" s="26"/>
      <x:c r="B45" s="26"/>
      <x:c r="C45" s="26"/>
      <x:c r="D45" s="26"/>
      <x:c r="E45" s="26"/>
      <x:c r="F45" s="26"/>
      <x:c r="G45" s="26"/>
      <x:c r="H45" s="26"/>
      <x:c r="I45" s="26"/>
      <x:c r="J45" s="26"/>
      <x:c r="K45" s="26"/>
      <x:c r="L45" s="26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</x:row>
    <x:row r="46">
      <x:c r="A46" s="26"/>
      <x:c r="B46" s="26"/>
      <x:c r="C46" s="26"/>
      <x:c r="D46" s="26"/>
      <x:c r="E46" s="26"/>
      <x:c r="F46" s="26"/>
      <x:c r="G46" s="26"/>
      <x:c r="H46" s="26"/>
      <x:c r="I46" s="26"/>
      <x:c r="J46" s="26"/>
      <x:c r="K46" s="26"/>
      <x:c r="L46" s="26"/>
      <x:c r="M46" s="26"/>
      <x:c r="N46" s="26"/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</x:row>
    <x:row r="47">
      <x:c r="A47" s="26"/>
      <x:c r="B47" s="26"/>
      <x:c r="C47" s="26"/>
      <x:c r="D47" s="26"/>
      <x:c r="E47" s="26"/>
      <x:c r="F47" s="26"/>
      <x:c r="G47" s="26"/>
      <x:c r="H47" s="26"/>
      <x:c r="I47" s="26"/>
      <x:c r="J47" s="26"/>
      <x:c r="K47" s="26"/>
      <x:c r="L47" s="26"/>
      <x:c r="M47" s="26"/>
      <x:c r="N47" s="26"/>
      <x:c r="O47" s="26"/>
      <x:c r="P47" s="26"/>
      <x:c r="Q47" s="26"/>
      <x:c r="R47" s="26"/>
      <x:c r="S47" s="26"/>
      <x:c r="T47" s="26"/>
      <x:c r="U47" s="26"/>
      <x:c r="V47" s="26"/>
      <x:c r="W47" s="26"/>
      <x:c r="X47" s="26"/>
      <x:c r="Y47" s="26"/>
      <x:c r="Z47" s="26"/>
    </x:row>
    <x:row r="48">
      <x:c r="A48" s="26"/>
      <x:c r="B48" s="26"/>
      <x:c r="C48" s="26"/>
      <x:c r="D48" s="26"/>
      <x:c r="E48" s="26"/>
      <x:c r="F48" s="26"/>
      <x:c r="G48" s="26"/>
      <x:c r="H48" s="26"/>
      <x:c r="I48" s="26"/>
      <x:c r="J48" s="26"/>
      <x:c r="K48" s="26"/>
      <x:c r="L48" s="26"/>
      <x:c r="M48" s="26"/>
      <x:c r="N48" s="26"/>
      <x:c r="O48" s="26"/>
      <x:c r="P48" s="26"/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</x:row>
    <x:row r="49">
      <x:c r="A49" s="26"/>
      <x:c r="B49" s="26"/>
      <x:c r="C49" s="26"/>
      <x:c r="D49" s="26"/>
      <x:c r="E49" s="26"/>
      <x:c r="F49" s="26"/>
      <x:c r="G49" s="26"/>
      <x:c r="H49" s="26"/>
      <x:c r="I49" s="26"/>
      <x:c r="J49" s="26"/>
      <x:c r="K49" s="26"/>
      <x:c r="L49" s="26"/>
      <x:c r="M49" s="26"/>
      <x:c r="N49" s="26"/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</x:row>
    <x:row r="50">
      <x:c r="A50" s="26"/>
      <x:c r="B50" s="26"/>
      <x:c r="C50" s="26"/>
      <x:c r="D50" s="26"/>
      <x:c r="E50" s="26"/>
      <x:c r="F50" s="26"/>
      <x:c r="G50" s="26"/>
      <x:c r="H50" s="26"/>
      <x:c r="I50" s="26"/>
      <x:c r="J50" s="26"/>
      <x:c r="K50" s="26"/>
      <x:c r="L50" s="26"/>
      <x:c r="M50" s="26"/>
      <x:c r="N50" s="26"/>
      <x:c r="O50" s="26"/>
      <x:c r="P50" s="26"/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</x:row>
    <x:row r="51">
      <x:c r="A51" s="26"/>
      <x:c r="B51" s="26"/>
      <x:c r="C51" s="26"/>
      <x:c r="D51" s="26"/>
      <x:c r="E51" s="26"/>
      <x:c r="F51" s="26"/>
      <x:c r="G51" s="26"/>
      <x:c r="H51" s="26"/>
      <x:c r="I51" s="26"/>
      <x:c r="J51" s="26"/>
      <x:c r="K51" s="26"/>
      <x:c r="L51" s="26"/>
      <x:c r="M51" s="26"/>
      <x:c r="N51" s="26"/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</x:row>
    <x:row r="52">
      <x:c r="A52" s="26"/>
      <x:c r="B52" s="26"/>
      <x:c r="C52" s="26"/>
      <x:c r="D52" s="26"/>
      <x:c r="E52" s="26"/>
      <x:c r="F52" s="26"/>
      <x:c r="G52" s="26"/>
      <x:c r="H52" s="26"/>
      <x:c r="I52" s="26"/>
      <x:c r="J52" s="26"/>
      <x:c r="K52" s="26"/>
      <x:c r="L52" s="26"/>
      <x:c r="M52" s="26"/>
      <x:c r="N52" s="26"/>
      <x:c r="O52" s="26"/>
      <x:c r="P52" s="26"/>
      <x:c r="Q52" s="26"/>
      <x:c r="R52" s="26"/>
      <x:c r="S52" s="26"/>
      <x:c r="T52" s="26"/>
      <x:c r="U52" s="26"/>
      <x:c r="V52" s="26"/>
      <x:c r="W52" s="26"/>
      <x:c r="X52" s="26"/>
      <x:c r="Y52" s="26"/>
      <x:c r="Z52" s="26"/>
    </x:row>
    <x:row r="53">
      <x:c r="A53" s="26"/>
      <x:c r="B53" s="26"/>
      <x:c r="C53" s="26"/>
      <x:c r="D53" s="26"/>
      <x:c r="E53" s="26"/>
      <x:c r="F53" s="26"/>
      <x:c r="G53" s="26"/>
      <x:c r="H53" s="26"/>
      <x:c r="I53" s="26"/>
      <x:c r="J53" s="26"/>
      <x:c r="K53" s="26"/>
      <x:c r="L53" s="26"/>
      <x:c r="M53" s="26"/>
      <x:c r="N53" s="26"/>
      <x:c r="O53" s="26"/>
      <x:c r="P53" s="26"/>
      <x:c r="Q53" s="26"/>
      <x:c r="R53" s="26"/>
      <x:c r="S53" s="26"/>
      <x:c r="T53" s="26"/>
      <x:c r="U53" s="26"/>
      <x:c r="V53" s="26"/>
      <x:c r="W53" s="26"/>
      <x:c r="X53" s="26"/>
      <x:c r="Y53" s="26"/>
      <x:c r="Z53" s="26"/>
    </x:row>
    <x:row r="54">
      <x:c r="A54" s="26"/>
      <x:c r="B54" s="26"/>
      <x:c r="C54" s="26"/>
      <x:c r="D54" s="26"/>
      <x:c r="E54" s="26"/>
      <x:c r="F54" s="26"/>
      <x:c r="G54" s="26"/>
      <x:c r="H54" s="26"/>
      <x:c r="I54" s="26"/>
      <x:c r="J54" s="26"/>
      <x:c r="K54" s="26"/>
      <x:c r="L54" s="26"/>
      <x:c r="M54" s="26"/>
      <x:c r="N54" s="26"/>
      <x:c r="O54" s="26"/>
      <x:c r="P54" s="26"/>
      <x:c r="Q54" s="26"/>
      <x:c r="R54" s="26"/>
      <x:c r="S54" s="26"/>
      <x:c r="T54" s="26"/>
      <x:c r="U54" s="26"/>
      <x:c r="V54" s="26"/>
      <x:c r="W54" s="26"/>
      <x:c r="X54" s="26"/>
      <x:c r="Y54" s="26"/>
      <x:c r="Z54" s="26"/>
    </x:row>
    <x:row r="55">
      <x:c r="A55" s="26"/>
      <x:c r="B55" s="26"/>
      <x:c r="C55" s="26"/>
      <x:c r="D55" s="26"/>
      <x:c r="E55" s="26"/>
      <x:c r="F55" s="26"/>
      <x:c r="G55" s="26"/>
      <x:c r="H55" s="26"/>
      <x:c r="I55" s="26"/>
      <x:c r="J55" s="26"/>
      <x:c r="K55" s="26"/>
      <x:c r="L55" s="26"/>
      <x:c r="M55" s="26"/>
      <x:c r="N55" s="26"/>
      <x:c r="O55" s="26"/>
      <x:c r="P55" s="26"/>
      <x:c r="Q55" s="26"/>
      <x:c r="R55" s="26"/>
      <x:c r="S55" s="26"/>
      <x:c r="T55" s="26"/>
      <x:c r="U55" s="26"/>
      <x:c r="V55" s="26"/>
      <x:c r="W55" s="26"/>
      <x:c r="X55" s="26"/>
      <x:c r="Y55" s="26"/>
      <x:c r="Z55" s="26"/>
    </x:row>
    <x:row r="56">
      <x:c r="A56" s="26"/>
      <x:c r="B56" s="26"/>
      <x:c r="C56" s="26"/>
      <x:c r="D56" s="26"/>
      <x:c r="E56" s="26"/>
      <x:c r="F56" s="26"/>
      <x:c r="G56" s="26"/>
      <x:c r="H56" s="26"/>
      <x:c r="I56" s="26"/>
      <x:c r="J56" s="26"/>
      <x:c r="K56" s="26"/>
      <x:c r="L56" s="26"/>
      <x:c r="M56" s="26"/>
      <x:c r="N56" s="26"/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</x:row>
    <x:row r="57">
      <x:c r="A57" s="26"/>
      <x:c r="B57" s="26"/>
      <x:c r="C57" s="26"/>
      <x:c r="D57" s="26"/>
      <x:c r="E57" s="26"/>
      <x:c r="F57" s="26"/>
      <x:c r="G57" s="26"/>
      <x:c r="H57" s="26"/>
      <x:c r="I57" s="26"/>
      <x:c r="J57" s="26"/>
      <x:c r="K57" s="26"/>
      <x:c r="L57" s="26"/>
      <x:c r="M57" s="26"/>
      <x:c r="N57" s="26"/>
      <x:c r="O57" s="26"/>
      <x:c r="P57" s="26"/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</x:row>
    <x:row r="58">
      <x:c r="A58" s="26"/>
      <x:c r="B58" s="26"/>
      <x:c r="C58" s="26"/>
      <x:c r="D58" s="26"/>
      <x:c r="E58" s="26"/>
      <x:c r="F58" s="26"/>
      <x:c r="G58" s="26"/>
      <x:c r="H58" s="26"/>
      <x:c r="I58" s="26"/>
      <x:c r="J58" s="26"/>
      <x:c r="K58" s="26"/>
      <x:c r="L58" s="26"/>
      <x:c r="M58" s="26"/>
      <x:c r="N58" s="26"/>
      <x:c r="O58" s="26"/>
      <x:c r="P58" s="26"/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</x:row>
    <x:row r="59">
      <x:c r="A59" s="26"/>
      <x:c r="B59" s="26"/>
      <x:c r="C59" s="26"/>
      <x:c r="D59" s="26"/>
      <x:c r="E59" s="26"/>
      <x:c r="F59" s="26"/>
      <x:c r="G59" s="26"/>
      <x:c r="H59" s="26"/>
      <x:c r="I59" s="26"/>
      <x:c r="J59" s="26"/>
      <x:c r="K59" s="26"/>
      <x:c r="L59" s="26"/>
      <x:c r="M59" s="26"/>
      <x:c r="N59" s="26"/>
      <x:c r="O59" s="26"/>
      <x:c r="P59" s="26"/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</x:row>
    <x:row r="60">
      <x:c r="A60" s="26"/>
      <x:c r="B60" s="26"/>
      <x:c r="C60" s="26"/>
      <x:c r="D60" s="26"/>
      <x:c r="E60" s="26"/>
      <x:c r="F60" s="26"/>
      <x:c r="G60" s="26"/>
      <x:c r="H60" s="26"/>
      <x:c r="I60" s="26"/>
      <x:c r="J60" s="26"/>
      <x:c r="K60" s="26"/>
      <x:c r="L60" s="26"/>
      <x:c r="M60" s="26"/>
      <x:c r="N60" s="26"/>
      <x:c r="O60" s="26"/>
      <x:c r="P60" s="26"/>
      <x:c r="Q60" s="26"/>
      <x:c r="R60" s="26"/>
      <x:c r="S60" s="26"/>
      <x:c r="T60" s="26"/>
      <x:c r="U60" s="26"/>
      <x:c r="V60" s="26"/>
      <x:c r="W60" s="26"/>
      <x:c r="X60" s="26"/>
      <x:c r="Y60" s="26"/>
      <x:c r="Z60" s="26"/>
    </x:row>
    <x:row r="61">
      <x:c r="A61" s="26"/>
      <x:c r="B61" s="26"/>
      <x:c r="C61" s="26"/>
      <x:c r="D61" s="26"/>
      <x:c r="E61" s="26"/>
      <x:c r="F61" s="26"/>
      <x:c r="G61" s="26"/>
      <x:c r="H61" s="26"/>
      <x:c r="I61" s="26"/>
      <x:c r="J61" s="26"/>
      <x:c r="K61" s="26"/>
      <x:c r="L61" s="26"/>
      <x:c r="M61" s="26"/>
      <x:c r="N61" s="26"/>
      <x:c r="O61" s="26"/>
      <x:c r="P61" s="26"/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</x:row>
    <x:row r="62">
      <x:c r="A62" s="26"/>
      <x:c r="B62" s="26"/>
      <x:c r="C62" s="26"/>
      <x:c r="D62" s="26"/>
      <x:c r="E62" s="26"/>
      <x:c r="F62" s="26"/>
      <x:c r="G62" s="26"/>
      <x:c r="H62" s="26"/>
      <x:c r="I62" s="26"/>
      <x:c r="J62" s="26"/>
      <x:c r="K62" s="26"/>
      <x:c r="L62" s="26"/>
      <x:c r="M62" s="26"/>
      <x:c r="N62" s="26"/>
      <x:c r="O62" s="26"/>
      <x:c r="P62" s="26"/>
      <x:c r="Q62" s="26"/>
      <x:c r="R62" s="26"/>
      <x:c r="S62" s="26"/>
      <x:c r="T62" s="26"/>
      <x:c r="U62" s="26"/>
      <x:c r="V62" s="26"/>
      <x:c r="W62" s="26"/>
      <x:c r="X62" s="26"/>
      <x:c r="Y62" s="26"/>
      <x:c r="Z62" s="26"/>
    </x:row>
    <x:row r="63">
      <x:c r="A63" s="26"/>
      <x:c r="B63" s="26"/>
      <x:c r="C63" s="26"/>
      <x:c r="D63" s="26"/>
      <x:c r="E63" s="26"/>
      <x:c r="F63" s="26"/>
      <x:c r="G63" s="26"/>
      <x:c r="H63" s="26"/>
      <x:c r="I63" s="26"/>
      <x:c r="J63" s="26"/>
      <x:c r="K63" s="26"/>
      <x:c r="L63" s="26"/>
      <x:c r="M63" s="26"/>
      <x:c r="N63" s="26"/>
      <x:c r="O63" s="26"/>
      <x:c r="P63" s="26"/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</x:row>
    <x:row r="64">
      <x:c r="A64" s="26"/>
      <x:c r="B64" s="26"/>
      <x:c r="C64" s="26"/>
      <x:c r="D64" s="26"/>
      <x:c r="E64" s="26"/>
      <x:c r="F64" s="26"/>
      <x:c r="G64" s="26"/>
      <x:c r="H64" s="26"/>
      <x:c r="I64" s="26"/>
      <x:c r="J64" s="26"/>
      <x:c r="K64" s="26"/>
      <x:c r="L64" s="26"/>
      <x:c r="M64" s="26"/>
      <x:c r="N64" s="26"/>
      <x:c r="O64" s="26"/>
      <x:c r="P64" s="26"/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</x:row>
    <x:row r="65">
      <x:c r="A65" s="26"/>
      <x:c r="B65" s="26"/>
      <x:c r="C65" s="26"/>
      <x:c r="D65" s="26"/>
      <x:c r="E65" s="26"/>
      <x:c r="F65" s="26"/>
      <x:c r="G65" s="26"/>
      <x:c r="H65" s="26"/>
      <x:c r="I65" s="26"/>
      <x:c r="J65" s="26"/>
      <x:c r="K65" s="26"/>
      <x:c r="L65" s="26"/>
      <x:c r="M65" s="26"/>
      <x:c r="N65" s="26"/>
      <x:c r="O65" s="26"/>
      <x:c r="P65" s="26"/>
      <x:c r="Q65" s="26"/>
      <x:c r="R65" s="26"/>
      <x:c r="S65" s="26"/>
      <x:c r="T65" s="26"/>
      <x:c r="U65" s="26"/>
      <x:c r="V65" s="26"/>
      <x:c r="W65" s="26"/>
      <x:c r="X65" s="26"/>
      <x:c r="Y65" s="26"/>
      <x:c r="Z65" s="26"/>
    </x:row>
    <x:row r="66">
      <x:c r="A66" s="26"/>
      <x:c r="B66" s="26"/>
      <x:c r="C66" s="26"/>
      <x:c r="D66" s="26"/>
      <x:c r="E66" s="26"/>
      <x:c r="F66" s="26"/>
      <x:c r="G66" s="26"/>
      <x:c r="H66" s="26"/>
      <x:c r="I66" s="26"/>
      <x:c r="J66" s="26"/>
      <x:c r="K66" s="26"/>
      <x:c r="L66" s="26"/>
      <x:c r="M66" s="26"/>
      <x:c r="N66" s="26"/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</x:row>
    <x:row r="67">
      <x:c r="A67" s="26"/>
      <x:c r="B67" s="26"/>
      <x:c r="C67" s="26"/>
      <x:c r="D67" s="26"/>
      <x:c r="E67" s="26"/>
      <x:c r="F67" s="26"/>
      <x:c r="G67" s="26"/>
      <x:c r="H67" s="26"/>
      <x:c r="I67" s="26"/>
      <x:c r="J67" s="26"/>
      <x:c r="K67" s="26"/>
      <x:c r="L67" s="26"/>
      <x:c r="M67" s="26"/>
      <x:c r="N67" s="26"/>
      <x:c r="O67" s="26"/>
      <x:c r="P67" s="26"/>
      <x:c r="Q67" s="26"/>
      <x:c r="R67" s="26"/>
      <x:c r="S67" s="26"/>
      <x:c r="T67" s="26"/>
      <x:c r="U67" s="26"/>
      <x:c r="V67" s="26"/>
      <x:c r="W67" s="26"/>
      <x:c r="X67" s="26"/>
      <x:c r="Y67" s="26"/>
      <x:c r="Z67" s="26"/>
    </x:row>
    <x:row r="68">
      <x:c r="A68" s="26"/>
      <x:c r="B68" s="26"/>
      <x:c r="C68" s="26"/>
      <x:c r="D68" s="26"/>
      <x:c r="E68" s="26"/>
      <x:c r="F68" s="26"/>
      <x:c r="G68" s="26"/>
      <x:c r="H68" s="26"/>
      <x:c r="I68" s="26"/>
      <x:c r="J68" s="26"/>
      <x:c r="K68" s="26"/>
      <x:c r="L68" s="26"/>
      <x:c r="M68" s="26"/>
      <x:c r="N68" s="26"/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6"/>
      <x:c r="Z68" s="26"/>
    </x:row>
    <x:row r="69">
      <x:c r="A69" s="26"/>
      <x:c r="B69" s="26"/>
      <x:c r="C69" s="26"/>
      <x:c r="D69" s="26"/>
      <x:c r="E69" s="26"/>
      <x:c r="F69" s="26"/>
      <x:c r="G69" s="26"/>
      <x:c r="H69" s="26"/>
      <x:c r="I69" s="26"/>
      <x:c r="J69" s="26"/>
      <x:c r="K69" s="26"/>
      <x:c r="L69" s="26"/>
      <x:c r="M69" s="26"/>
      <x:c r="N69" s="26"/>
      <x:c r="O69" s="26"/>
      <x:c r="P69" s="26"/>
      <x:c r="Q69" s="26"/>
      <x:c r="R69" s="26"/>
      <x:c r="S69" s="26"/>
      <x:c r="T69" s="26"/>
      <x:c r="U69" s="26"/>
      <x:c r="V69" s="26"/>
      <x:c r="W69" s="26"/>
      <x:c r="X69" s="26"/>
      <x:c r="Y69" s="26"/>
      <x:c r="Z69" s="26"/>
    </x:row>
    <x:row r="70">
      <x:c r="A70" s="26"/>
      <x:c r="B70" s="26"/>
      <x:c r="C70" s="26"/>
      <x:c r="D70" s="26"/>
      <x:c r="E70" s="26"/>
      <x:c r="F70" s="26"/>
      <x:c r="G70" s="26"/>
      <x:c r="H70" s="26"/>
      <x:c r="I70" s="26"/>
      <x:c r="J70" s="26"/>
      <x:c r="K70" s="26"/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</x:row>
    <x:row r="71">
      <x:c r="A71" s="26"/>
      <x:c r="B71" s="26"/>
      <x:c r="C71" s="26"/>
      <x:c r="D71" s="26"/>
      <x:c r="E71" s="26"/>
      <x:c r="F71" s="26"/>
      <x:c r="G71" s="26"/>
      <x:c r="H71" s="26"/>
      <x:c r="I71" s="26"/>
      <x:c r="J71" s="26"/>
      <x:c r="K71" s="26"/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6"/>
      <x:c r="Z71" s="26"/>
    </x:row>
    <x:row r="72">
      <x:c r="A72" s="26"/>
      <x:c r="B72" s="26"/>
      <x:c r="C72" s="26"/>
      <x:c r="D72" s="26"/>
      <x:c r="E72" s="26"/>
      <x:c r="F72" s="26"/>
      <x:c r="G72" s="26"/>
      <x:c r="H72" s="26"/>
      <x:c r="I72" s="26"/>
      <x:c r="J72" s="26"/>
      <x:c r="K72" s="26"/>
      <x:c r="L72" s="26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/>
      <x:c r="Y72" s="26"/>
      <x:c r="Z72" s="26"/>
    </x:row>
    <x:row r="73">
      <x:c r="A73" s="26"/>
      <x:c r="B73" s="26"/>
      <x:c r="C73" s="26"/>
      <x:c r="D73" s="26"/>
      <x:c r="E73" s="26"/>
      <x:c r="F73" s="26"/>
      <x:c r="G73" s="26"/>
      <x:c r="H73" s="26"/>
      <x:c r="I73" s="26"/>
      <x:c r="J73" s="26"/>
      <x:c r="K73" s="26"/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</x:row>
    <x:row r="74">
      <x:c r="A74" s="26"/>
      <x:c r="B74" s="26"/>
      <x:c r="C74" s="26"/>
      <x:c r="D74" s="26"/>
      <x:c r="E74" s="26"/>
      <x:c r="F74" s="26"/>
      <x:c r="G74" s="26"/>
      <x:c r="H74" s="26"/>
      <x:c r="I74" s="26"/>
      <x:c r="J74" s="26"/>
      <x:c r="K74" s="26"/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6"/>
      <x:c r="Z74" s="26"/>
    </x:row>
    <x:row r="75">
      <x:c r="A75" s="26"/>
      <x:c r="B75" s="26"/>
      <x:c r="C75" s="26"/>
      <x:c r="D75" s="26"/>
      <x:c r="E75" s="26"/>
      <x:c r="F75" s="26"/>
      <x:c r="G75" s="26"/>
      <x:c r="H75" s="26"/>
      <x:c r="I75" s="26"/>
      <x:c r="J75" s="26"/>
      <x:c r="K75" s="26"/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6"/>
      <x:c r="Z75" s="26"/>
    </x:row>
    <x:row r="76">
      <x:c r="A76" s="26"/>
      <x:c r="B76" s="26"/>
      <x:c r="C76" s="26"/>
      <x:c r="D76" s="26"/>
      <x:c r="E76" s="26"/>
      <x:c r="F76" s="26"/>
      <x:c r="G76" s="26"/>
      <x:c r="H76" s="26"/>
      <x:c r="I76" s="26"/>
      <x:c r="J76" s="26"/>
      <x:c r="K76" s="26"/>
      <x:c r="L76" s="26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6"/>
      <x:c r="Z76" s="26"/>
    </x:row>
    <x:row r="77">
      <x:c r="A77" s="26"/>
      <x:c r="B77" s="26"/>
      <x:c r="C77" s="26"/>
      <x:c r="D77" s="26"/>
      <x:c r="E77" s="26"/>
      <x:c r="F77" s="26"/>
      <x:c r="G77" s="26"/>
      <x:c r="H77" s="26"/>
      <x:c r="I77" s="26"/>
      <x:c r="J77" s="26"/>
      <x:c r="K77" s="26"/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</x:row>
    <x:row r="78">
      <x:c r="A78" s="26"/>
      <x:c r="B78" s="26"/>
      <x:c r="C78" s="26"/>
      <x:c r="D78" s="26"/>
      <x:c r="E78" s="26"/>
      <x:c r="F78" s="26"/>
      <x:c r="G78" s="26"/>
      <x:c r="H78" s="26"/>
      <x:c r="I78" s="26"/>
      <x:c r="J78" s="26"/>
      <x:c r="K78" s="26"/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6"/>
      <x:c r="Z78" s="26"/>
    </x:row>
    <x:row r="79">
      <x:c r="A79" s="26"/>
      <x:c r="B79" s="26"/>
      <x:c r="C79" s="26"/>
      <x:c r="D79" s="26"/>
      <x:c r="E79" s="26"/>
      <x:c r="F79" s="26"/>
      <x:c r="G79" s="26"/>
      <x:c r="H79" s="26"/>
      <x:c r="I79" s="26"/>
      <x:c r="J79" s="26"/>
      <x:c r="K79" s="26"/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/>
      <x:c r="Z79" s="26"/>
    </x:row>
    <x:row r="80">
      <x:c r="A80" s="26"/>
      <x:c r="B80" s="26"/>
      <x:c r="C80" s="26"/>
      <x:c r="D80" s="26"/>
      <x:c r="E80" s="26"/>
      <x:c r="F80" s="26"/>
      <x:c r="G80" s="26"/>
      <x:c r="H80" s="26"/>
      <x:c r="I80" s="26"/>
      <x:c r="J80" s="26"/>
      <x:c r="K80" s="26"/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</x:row>
    <x:row r="81">
      <x:c r="A81" s="26"/>
      <x:c r="B81" s="26"/>
      <x:c r="C81" s="26"/>
      <x:c r="D81" s="26"/>
      <x:c r="E81" s="26"/>
      <x:c r="F81" s="26"/>
      <x:c r="G81" s="26"/>
      <x:c r="H81" s="26"/>
      <x:c r="I81" s="26"/>
      <x:c r="J81" s="26"/>
      <x:c r="K81" s="26"/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  <x:c r="Z81" s="26"/>
    </x:row>
    <x:row r="82">
      <x:c r="A82" s="26"/>
      <x:c r="B82" s="26"/>
      <x:c r="C82" s="26"/>
      <x:c r="D82" s="26"/>
      <x:c r="E82" s="26"/>
      <x:c r="F82" s="26"/>
      <x:c r="G82" s="26"/>
      <x:c r="H82" s="26"/>
      <x:c r="I82" s="26"/>
      <x:c r="J82" s="26"/>
      <x:c r="K82" s="26"/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</x:row>
    <x:row r="83">
      <x:c r="A83" s="26"/>
      <x:c r="B83" s="26"/>
      <x:c r="C83" s="26"/>
      <x:c r="D83" s="26"/>
      <x:c r="E83" s="26"/>
      <x:c r="F83" s="26"/>
      <x:c r="G83" s="26"/>
      <x:c r="H83" s="26"/>
      <x:c r="I83" s="26"/>
      <x:c r="J83" s="26"/>
      <x:c r="K83" s="26"/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6"/>
    </x:row>
    <x:row r="84">
      <x:c r="A84" s="26"/>
      <x:c r="B84" s="26"/>
      <x:c r="C84" s="26"/>
      <x:c r="D84" s="26"/>
      <x:c r="E84" s="26"/>
      <x:c r="F84" s="26"/>
      <x:c r="G84" s="26"/>
      <x:c r="H84" s="26"/>
      <x:c r="I84" s="26"/>
      <x:c r="J84" s="26"/>
      <x:c r="K84" s="26"/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6"/>
    </x:row>
    <x:row r="85">
      <x:c r="A85" s="26"/>
      <x:c r="B85" s="26"/>
      <x:c r="C85" s="26"/>
      <x:c r="D85" s="26"/>
      <x:c r="E85" s="26"/>
      <x:c r="F85" s="26"/>
      <x:c r="G85" s="26"/>
      <x:c r="H85" s="26"/>
      <x:c r="I85" s="26"/>
      <x:c r="J85" s="26"/>
      <x:c r="K85" s="26"/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  <x:c r="Z85" s="26"/>
    </x:row>
    <x:row r="86">
      <x:c r="A86" s="26"/>
      <x:c r="B86" s="26"/>
      <x:c r="C86" s="26"/>
      <x:c r="D86" s="26"/>
      <x:c r="E86" s="26"/>
      <x:c r="F86" s="26"/>
      <x:c r="G86" s="26"/>
      <x:c r="H86" s="26"/>
      <x:c r="I86" s="26"/>
      <x:c r="J86" s="26"/>
      <x:c r="K86" s="26"/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6"/>
    </x:row>
    <x:row r="87">
      <x:c r="A87" s="26"/>
      <x:c r="B87" s="26"/>
      <x:c r="C87" s="26"/>
      <x:c r="D87" s="26"/>
      <x:c r="E87" s="26"/>
      <x:c r="F87" s="26"/>
      <x:c r="G87" s="26"/>
      <x:c r="H87" s="26"/>
      <x:c r="I87" s="26"/>
      <x:c r="J87" s="26"/>
      <x:c r="K87" s="26"/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6"/>
    </x:row>
    <x:row r="88">
      <x:c r="A88" s="26"/>
      <x:c r="B88" s="26"/>
      <x:c r="C88" s="26"/>
      <x:c r="D88" s="26"/>
      <x:c r="E88" s="26"/>
      <x:c r="F88" s="26"/>
      <x:c r="G88" s="26"/>
      <x:c r="H88" s="26"/>
      <x:c r="I88" s="26"/>
      <x:c r="J88" s="26"/>
      <x:c r="K88" s="26"/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6"/>
    </x:row>
    <x:row r="89">
      <x:c r="A89" s="26"/>
      <x:c r="B89" s="26"/>
      <x:c r="C89" s="26"/>
      <x:c r="D89" s="26"/>
      <x:c r="E89" s="26"/>
      <x:c r="F89" s="26"/>
      <x:c r="G89" s="26"/>
      <x:c r="H89" s="26"/>
      <x:c r="I89" s="26"/>
      <x:c r="J89" s="26"/>
      <x:c r="K89" s="26"/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6"/>
    </x:row>
    <x:row r="90">
      <x:c r="A90" s="26"/>
      <x:c r="B90" s="26"/>
      <x:c r="C90" s="26"/>
      <x:c r="D90" s="26"/>
      <x:c r="E90" s="26"/>
      <x:c r="F90" s="26"/>
      <x:c r="G90" s="26"/>
      <x:c r="H90" s="26"/>
      <x:c r="I90" s="26"/>
      <x:c r="J90" s="26"/>
      <x:c r="K90" s="26"/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6"/>
    </x:row>
    <x:row r="91">
      <x:c r="A91" s="26"/>
      <x:c r="B91" s="26"/>
      <x:c r="C91" s="26"/>
      <x:c r="D91" s="26"/>
      <x:c r="E91" s="26"/>
      <x:c r="F91" s="26"/>
      <x:c r="G91" s="26"/>
      <x:c r="H91" s="26"/>
      <x:c r="I91" s="26"/>
      <x:c r="J91" s="26"/>
      <x:c r="K91" s="26"/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6"/>
    </x:row>
    <x:row r="92">
      <x:c r="A92" s="26"/>
      <x:c r="B92" s="26"/>
      <x:c r="C92" s="26"/>
      <x:c r="D92" s="26"/>
      <x:c r="E92" s="26"/>
      <x:c r="F92" s="26"/>
      <x:c r="G92" s="26"/>
      <x:c r="H92" s="26"/>
      <x:c r="I92" s="26"/>
      <x:c r="J92" s="26"/>
      <x:c r="K92" s="26"/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6"/>
    </x:row>
    <x:row r="93">
      <x:c r="A93" s="26"/>
      <x:c r="B93" s="26"/>
      <x:c r="C93" s="26"/>
      <x:c r="D93" s="26"/>
      <x:c r="E93" s="26"/>
      <x:c r="F93" s="26"/>
      <x:c r="G93" s="26"/>
      <x:c r="H93" s="26"/>
      <x:c r="I93" s="26"/>
      <x:c r="J93" s="26"/>
      <x:c r="K93" s="26"/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6"/>
    </x:row>
    <x:row r="94">
      <x:c r="A94" s="26"/>
      <x:c r="B94" s="26"/>
      <x:c r="C94" s="26"/>
      <x:c r="D94" s="26"/>
      <x:c r="E94" s="26"/>
      <x:c r="F94" s="26"/>
      <x:c r="G94" s="26"/>
      <x:c r="H94" s="26"/>
      <x:c r="I94" s="26"/>
      <x:c r="J94" s="26"/>
      <x:c r="K94" s="26"/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6"/>
    </x:row>
    <x:row r="95">
      <x:c r="A95" s="26"/>
      <x:c r="B95" s="26"/>
      <x:c r="C95" s="26"/>
      <x:c r="D95" s="26"/>
      <x:c r="E95" s="26"/>
      <x:c r="F95" s="26"/>
      <x:c r="G95" s="26"/>
      <x:c r="H95" s="26"/>
      <x:c r="I95" s="26"/>
      <x:c r="J95" s="26"/>
      <x:c r="K95" s="26"/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</x:row>
    <x:row r="96">
      <x:c r="A96" s="26"/>
      <x:c r="B96" s="26"/>
      <x:c r="C96" s="26"/>
      <x:c r="D96" s="26"/>
      <x:c r="E96" s="26"/>
      <x:c r="F96" s="26"/>
      <x:c r="G96" s="26"/>
      <x:c r="H96" s="26"/>
      <x:c r="I96" s="26"/>
      <x:c r="J96" s="26"/>
      <x:c r="K96" s="26"/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</x:row>
    <x:row r="97">
      <x:c r="A97" s="26"/>
      <x:c r="B97" s="26"/>
      <x:c r="C97" s="26"/>
      <x:c r="D97" s="26"/>
      <x:c r="E97" s="26"/>
      <x:c r="F97" s="26"/>
      <x:c r="G97" s="26"/>
      <x:c r="H97" s="26"/>
      <x:c r="I97" s="26"/>
      <x:c r="J97" s="26"/>
      <x:c r="K97" s="26"/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</x:row>
    <x:row r="98">
      <x:c r="A98" s="26"/>
      <x:c r="B98" s="26"/>
      <x:c r="C98" s="26"/>
      <x:c r="D98" s="26"/>
      <x:c r="E98" s="26"/>
      <x:c r="F98" s="26"/>
      <x:c r="G98" s="26"/>
      <x:c r="H98" s="26"/>
      <x:c r="I98" s="26"/>
      <x:c r="J98" s="26"/>
      <x:c r="K98" s="26"/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</x:row>
    <x:row r="99">
      <x:c r="A99" s="26"/>
      <x:c r="B99" s="26"/>
      <x:c r="C99" s="26"/>
      <x:c r="D99" s="26"/>
      <x:c r="E99" s="26"/>
      <x:c r="F99" s="26"/>
      <x:c r="G99" s="26"/>
      <x:c r="H99" s="26"/>
      <x:c r="I99" s="26"/>
      <x:c r="J99" s="26"/>
      <x:c r="K99" s="26"/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</x:row>
    <x:row r="100">
      <x:c r="A100" s="26"/>
      <x:c r="B100" s="26"/>
      <x:c r="C100" s="26"/>
      <x:c r="D100" s="26"/>
      <x:c r="E100" s="26"/>
      <x:c r="F100" s="26"/>
      <x:c r="G100" s="26"/>
      <x:c r="H100" s="26"/>
      <x:c r="I100" s="26"/>
      <x:c r="J100" s="26"/>
      <x:c r="K100" s="26"/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</x:row>
    <x:row r="101">
      <x:c r="A101" s="26"/>
      <x:c r="B101" s="26"/>
      <x:c r="C101" s="26"/>
      <x:c r="D101" s="26"/>
      <x:c r="E101" s="26"/>
      <x:c r="F101" s="26"/>
      <x:c r="G101" s="26"/>
      <x:c r="H101" s="26"/>
      <x:c r="I101" s="26"/>
      <x:c r="J101" s="26"/>
      <x:c r="K101" s="26"/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</x:row>
    <x:row r="102">
      <x:c r="A102" s="26"/>
      <x:c r="B102" s="26"/>
      <x:c r="C102" s="26"/>
      <x:c r="D102" s="26"/>
      <x:c r="E102" s="26"/>
      <x:c r="F102" s="26"/>
      <x:c r="G102" s="26"/>
      <x:c r="H102" s="26"/>
      <x:c r="I102" s="26"/>
      <x:c r="J102" s="26"/>
      <x:c r="K102" s="26"/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  <x:c r="Z102" s="26"/>
    </x:row>
    <x:row r="103">
      <x:c r="A103" s="26"/>
      <x:c r="B103" s="26"/>
      <x:c r="C103" s="26"/>
      <x:c r="D103" s="26"/>
      <x:c r="E103" s="26"/>
      <x:c r="F103" s="26"/>
      <x:c r="G103" s="26"/>
      <x:c r="H103" s="26"/>
      <x:c r="I103" s="26"/>
      <x:c r="J103" s="26"/>
      <x:c r="K103" s="26"/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</x:row>
    <x:row r="104">
      <x:c r="A104" s="26"/>
      <x:c r="B104" s="26"/>
      <x:c r="C104" s="26"/>
      <x:c r="D104" s="26"/>
      <x:c r="E104" s="26"/>
      <x:c r="F104" s="26"/>
      <x:c r="G104" s="26"/>
      <x:c r="H104" s="26"/>
      <x:c r="I104" s="26"/>
      <x:c r="J104" s="26"/>
      <x:c r="K104" s="26"/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</x:row>
    <x:row r="105">
      <x:c r="A105" s="26"/>
      <x:c r="B105" s="26"/>
      <x:c r="C105" s="26"/>
      <x:c r="D105" s="26"/>
      <x:c r="E105" s="26"/>
      <x:c r="F105" s="26"/>
      <x:c r="G105" s="26"/>
      <x:c r="H105" s="26"/>
      <x:c r="I105" s="26"/>
      <x:c r="J105" s="26"/>
      <x:c r="K105" s="26"/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</x:row>
    <x:row r="106">
      <x:c r="A106" s="26"/>
      <x:c r="B106" s="26"/>
      <x:c r="C106" s="26"/>
      <x:c r="D106" s="26"/>
      <x:c r="E106" s="26"/>
      <x:c r="F106" s="26"/>
      <x:c r="G106" s="26"/>
      <x:c r="H106" s="26"/>
      <x:c r="I106" s="26"/>
      <x:c r="J106" s="26"/>
      <x:c r="K106" s="26"/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</x:row>
    <x:row r="107">
      <x:c r="A107" s="26"/>
      <x:c r="B107" s="26"/>
      <x:c r="C107" s="26"/>
      <x:c r="D107" s="26"/>
      <x:c r="E107" s="26"/>
      <x:c r="F107" s="26"/>
      <x:c r="G107" s="26"/>
      <x:c r="H107" s="26"/>
      <x:c r="I107" s="26"/>
      <x:c r="J107" s="26"/>
      <x:c r="K107" s="26"/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</x:row>
    <x:row r="108">
      <x:c r="A108" s="26"/>
      <x:c r="B108" s="26"/>
      <x:c r="C108" s="26"/>
      <x:c r="D108" s="26"/>
      <x:c r="E108" s="26"/>
      <x:c r="F108" s="26"/>
      <x:c r="G108" s="26"/>
      <x:c r="H108" s="26"/>
      <x:c r="I108" s="26"/>
      <x:c r="J108" s="26"/>
      <x:c r="K108" s="26"/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</x:row>
    <x:row r="109">
      <x:c r="A109" s="26"/>
      <x:c r="B109" s="26"/>
      <x:c r="C109" s="26"/>
      <x:c r="D109" s="26"/>
      <x:c r="E109" s="26"/>
      <x:c r="F109" s="26"/>
      <x:c r="G109" s="26"/>
      <x:c r="H109" s="26"/>
      <x:c r="I109" s="26"/>
      <x:c r="J109" s="26"/>
      <x:c r="K109" s="26"/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</x:row>
    <x:row r="110">
      <x:c r="A110" s="26"/>
      <x:c r="B110" s="26"/>
      <x:c r="C110" s="26"/>
      <x:c r="D110" s="26"/>
      <x:c r="E110" s="26"/>
      <x:c r="F110" s="26"/>
      <x:c r="G110" s="26"/>
      <x:c r="H110" s="26"/>
      <x:c r="I110" s="26"/>
      <x:c r="J110" s="26"/>
      <x:c r="K110" s="26"/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</x:row>
    <x:row r="111">
      <x:c r="A111" s="26"/>
      <x:c r="B111" s="26"/>
      <x:c r="C111" s="26"/>
      <x:c r="D111" s="26"/>
      <x:c r="E111" s="26"/>
      <x:c r="F111" s="26"/>
      <x:c r="G111" s="26"/>
      <x:c r="H111" s="26"/>
      <x:c r="I111" s="26"/>
      <x:c r="J111" s="26"/>
      <x:c r="K111" s="26"/>
      <x:c r="L111" s="26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/>
      <x:c r="Y111" s="26"/>
      <x:c r="Z111" s="26"/>
    </x:row>
    <x:row r="112">
      <x:c r="A112" s="26"/>
      <x:c r="B112" s="26"/>
      <x:c r="C112" s="26"/>
      <x:c r="D112" s="26"/>
      <x:c r="E112" s="26"/>
      <x:c r="F112" s="26"/>
      <x:c r="G112" s="26"/>
      <x:c r="H112" s="26"/>
      <x:c r="I112" s="26"/>
      <x:c r="J112" s="26"/>
      <x:c r="K112" s="26"/>
      <x:c r="L112" s="26"/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/>
      <x:c r="Z112" s="26"/>
    </x:row>
    <x:row r="113">
      <x:c r="A113" s="26"/>
      <x:c r="B113" s="26"/>
      <x:c r="C113" s="26"/>
      <x:c r="D113" s="26"/>
      <x:c r="E113" s="26"/>
      <x:c r="F113" s="26"/>
      <x:c r="G113" s="26"/>
      <x:c r="H113" s="26"/>
      <x:c r="I113" s="26"/>
      <x:c r="J113" s="26"/>
      <x:c r="K113" s="26"/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6"/>
    </x:row>
    <x:row r="114">
      <x:c r="A114" s="26"/>
      <x:c r="B114" s="26"/>
      <x:c r="C114" s="26"/>
      <x:c r="D114" s="26"/>
      <x:c r="E114" s="26"/>
      <x:c r="F114" s="26"/>
      <x:c r="G114" s="26"/>
      <x:c r="H114" s="26"/>
      <x:c r="I114" s="26"/>
      <x:c r="J114" s="26"/>
      <x:c r="K114" s="26"/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</x:row>
    <x:row r="115">
      <x:c r="A115" s="26"/>
      <x:c r="B115" s="26"/>
      <x:c r="C115" s="26"/>
      <x:c r="D115" s="26"/>
      <x:c r="E115" s="26"/>
      <x:c r="F115" s="26"/>
      <x:c r="G115" s="26"/>
      <x:c r="H115" s="26"/>
      <x:c r="I115" s="26"/>
      <x:c r="J115" s="26"/>
      <x:c r="K115" s="26"/>
      <x:c r="L115" s="26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6"/>
    </x:row>
    <x:row r="116">
      <x:c r="A116" s="26"/>
      <x:c r="B116" s="26"/>
      <x:c r="C116" s="26"/>
      <x:c r="D116" s="26"/>
      <x:c r="E116" s="26"/>
      <x:c r="F116" s="26"/>
      <x:c r="G116" s="26"/>
      <x:c r="H116" s="26"/>
      <x:c r="I116" s="26"/>
      <x:c r="J116" s="26"/>
      <x:c r="K116" s="26"/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</x:row>
    <x:row r="117">
      <x:c r="A117" s="26"/>
      <x:c r="B117" s="26"/>
      <x:c r="C117" s="26"/>
      <x:c r="D117" s="26"/>
      <x:c r="E117" s="26"/>
      <x:c r="F117" s="26"/>
      <x:c r="G117" s="26"/>
      <x:c r="H117" s="26"/>
      <x:c r="I117" s="26"/>
      <x:c r="J117" s="26"/>
      <x:c r="K117" s="26"/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</x:row>
    <x:row r="118">
      <x:c r="A118" s="26"/>
      <x:c r="B118" s="26"/>
      <x:c r="C118" s="26"/>
      <x:c r="D118" s="26"/>
      <x:c r="E118" s="26"/>
      <x:c r="F118" s="26"/>
      <x:c r="G118" s="26"/>
      <x:c r="H118" s="26"/>
      <x:c r="I118" s="26"/>
      <x:c r="J118" s="26"/>
      <x:c r="K118" s="26"/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</x:row>
    <x:row r="119">
      <x:c r="A119" s="26"/>
      <x:c r="B119" s="26"/>
      <x:c r="C119" s="26"/>
      <x:c r="D119" s="26"/>
      <x:c r="E119" s="26"/>
      <x:c r="F119" s="26"/>
      <x:c r="G119" s="26"/>
      <x:c r="H119" s="26"/>
      <x:c r="I119" s="26"/>
      <x:c r="J119" s="26"/>
      <x:c r="K119" s="26"/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</x:row>
    <x:row r="120">
      <x:c r="A120" s="26"/>
      <x:c r="B120" s="26"/>
      <x:c r="C120" s="26"/>
      <x:c r="D120" s="26"/>
      <x:c r="E120" s="26"/>
      <x:c r="F120" s="26"/>
      <x:c r="G120" s="26"/>
      <x:c r="H120" s="26"/>
      <x:c r="I120" s="26"/>
      <x:c r="J120" s="26"/>
      <x:c r="K120" s="26"/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</x:row>
    <x:row r="121">
      <x:c r="A121" s="26"/>
      <x:c r="B121" s="26"/>
      <x:c r="C121" s="26"/>
      <x:c r="D121" s="26"/>
      <x:c r="E121" s="26"/>
      <x:c r="F121" s="26"/>
      <x:c r="G121" s="26"/>
      <x:c r="H121" s="26"/>
      <x:c r="I121" s="26"/>
      <x:c r="J121" s="26"/>
      <x:c r="K121" s="26"/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6"/>
    </x:row>
    <x:row r="122">
      <x:c r="A122" s="26"/>
      <x:c r="B122" s="26"/>
      <x:c r="C122" s="26"/>
      <x:c r="D122" s="26"/>
      <x:c r="E122" s="26"/>
      <x:c r="F122" s="26"/>
      <x:c r="G122" s="26"/>
      <x:c r="H122" s="26"/>
      <x:c r="I122" s="26"/>
      <x:c r="J122" s="26"/>
      <x:c r="K122" s="26"/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6"/>
    </x:row>
    <x:row r="123">
      <x:c r="A123" s="26"/>
      <x:c r="B123" s="26"/>
      <x:c r="C123" s="26"/>
      <x:c r="D123" s="26"/>
      <x:c r="E123" s="26"/>
      <x:c r="F123" s="26"/>
      <x:c r="G123" s="26"/>
      <x:c r="H123" s="26"/>
      <x:c r="I123" s="26"/>
      <x:c r="J123" s="26"/>
      <x:c r="K123" s="26"/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6"/>
    </x:row>
    <x:row r="124">
      <x:c r="A124" s="26"/>
      <x:c r="B124" s="26"/>
      <x:c r="C124" s="26"/>
      <x:c r="D124" s="26"/>
      <x:c r="E124" s="26"/>
      <x:c r="F124" s="26"/>
      <x:c r="G124" s="26"/>
      <x:c r="H124" s="26"/>
      <x:c r="I124" s="26"/>
      <x:c r="J124" s="26"/>
      <x:c r="K124" s="26"/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</x:row>
    <x:row r="125">
      <x:c r="A125" s="26"/>
      <x:c r="B125" s="26"/>
      <x:c r="C125" s="26"/>
      <x:c r="D125" s="26"/>
      <x:c r="E125" s="26"/>
      <x:c r="F125" s="26"/>
      <x:c r="G125" s="26"/>
      <x:c r="H125" s="26"/>
      <x:c r="I125" s="26"/>
      <x:c r="J125" s="26"/>
      <x:c r="K125" s="26"/>
      <x:c r="L125" s="26"/>
      <x:c r="M125" s="26"/>
      <x:c r="N125" s="26"/>
      <x:c r="O125" s="26"/>
      <x:c r="P125" s="26"/>
      <x:c r="Q125" s="26"/>
      <x:c r="R125" s="26"/>
      <x:c r="S125" s="26"/>
      <x:c r="T125" s="26"/>
      <x:c r="U125" s="26"/>
      <x:c r="V125" s="26"/>
      <x:c r="W125" s="26"/>
      <x:c r="X125" s="26"/>
      <x:c r="Y125" s="26"/>
      <x:c r="Z125" s="26"/>
    </x:row>
    <x:row r="126">
      <x:c r="A126" s="26"/>
      <x:c r="B126" s="26"/>
      <x:c r="C126" s="26"/>
      <x:c r="D126" s="26"/>
      <x:c r="E126" s="26"/>
      <x:c r="F126" s="26"/>
      <x:c r="G126" s="26"/>
      <x:c r="H126" s="26"/>
      <x:c r="I126" s="26"/>
      <x:c r="J126" s="26"/>
      <x:c r="K126" s="26"/>
      <x:c r="L126" s="26"/>
      <x:c r="M126" s="26"/>
      <x:c r="N126" s="26"/>
      <x:c r="O126" s="26"/>
      <x:c r="P126" s="26"/>
      <x:c r="Q126" s="26"/>
      <x:c r="R126" s="26"/>
      <x:c r="S126" s="26"/>
      <x:c r="T126" s="26"/>
      <x:c r="U126" s="26"/>
      <x:c r="V126" s="26"/>
      <x:c r="W126" s="26"/>
      <x:c r="X126" s="26"/>
      <x:c r="Y126" s="26"/>
      <x:c r="Z126" s="26"/>
    </x:row>
    <x:row r="127">
      <x:c r="A127" s="26"/>
      <x:c r="B127" s="26"/>
      <x:c r="C127" s="26"/>
      <x:c r="D127" s="26"/>
      <x:c r="E127" s="26"/>
      <x:c r="F127" s="26"/>
      <x:c r="G127" s="26"/>
      <x:c r="H127" s="26"/>
      <x:c r="I127" s="26"/>
      <x:c r="J127" s="26"/>
      <x:c r="K127" s="26"/>
      <x:c r="L127" s="26"/>
      <x:c r="M127" s="26"/>
      <x:c r="N127" s="26"/>
      <x:c r="O127" s="26"/>
      <x:c r="P127" s="26"/>
      <x:c r="Q127" s="26"/>
      <x:c r="R127" s="26"/>
      <x:c r="S127" s="26"/>
      <x:c r="T127" s="26"/>
      <x:c r="U127" s="26"/>
      <x:c r="V127" s="26"/>
      <x:c r="W127" s="26"/>
      <x:c r="X127" s="26"/>
      <x:c r="Y127" s="26"/>
      <x:c r="Z127" s="26"/>
    </x:row>
    <x:row r="128">
      <x:c r="A128" s="26"/>
      <x:c r="B128" s="26"/>
      <x:c r="C128" s="26"/>
      <x:c r="D128" s="26"/>
      <x:c r="E128" s="26"/>
      <x:c r="F128" s="26"/>
      <x:c r="G128" s="26"/>
      <x:c r="H128" s="26"/>
      <x:c r="I128" s="26"/>
      <x:c r="J128" s="26"/>
      <x:c r="K128" s="26"/>
      <x:c r="L128" s="26"/>
      <x:c r="M128" s="26"/>
      <x:c r="N128" s="26"/>
      <x:c r="O128" s="26"/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6"/>
    </x:row>
    <x:row r="129">
      <x:c r="A129" s="26"/>
      <x:c r="B129" s="26"/>
      <x:c r="C129" s="26"/>
      <x:c r="D129" s="26"/>
      <x:c r="E129" s="26"/>
      <x:c r="F129" s="26"/>
      <x:c r="G129" s="26"/>
      <x:c r="H129" s="26"/>
      <x:c r="I129" s="26"/>
      <x:c r="J129" s="26"/>
      <x:c r="K129" s="26"/>
      <x:c r="L129" s="26"/>
      <x:c r="M129" s="26"/>
      <x:c r="N129" s="26"/>
      <x:c r="O129" s="26"/>
      <x:c r="P129" s="26"/>
      <x:c r="Q129" s="26"/>
      <x:c r="R129" s="26"/>
      <x:c r="S129" s="26"/>
      <x:c r="T129" s="26"/>
      <x:c r="U129" s="26"/>
      <x:c r="V129" s="26"/>
      <x:c r="W129" s="26"/>
      <x:c r="X129" s="26"/>
      <x:c r="Y129" s="26"/>
      <x:c r="Z129" s="26"/>
    </x:row>
    <x:row r="130">
      <x:c r="A130" s="26"/>
      <x:c r="B130" s="26"/>
      <x:c r="C130" s="26"/>
      <x:c r="D130" s="26"/>
      <x:c r="E130" s="26"/>
      <x:c r="F130" s="26"/>
      <x:c r="G130" s="26"/>
      <x:c r="H130" s="26"/>
      <x:c r="I130" s="26"/>
      <x:c r="J130" s="26"/>
      <x:c r="K130" s="26"/>
      <x:c r="L130" s="26"/>
      <x:c r="M130" s="26"/>
      <x:c r="N130" s="26"/>
      <x:c r="O130" s="26"/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/>
      <x:c r="Z130" s="26"/>
    </x:row>
    <x:row r="131">
      <x:c r="A131" s="26"/>
      <x:c r="B131" s="26"/>
      <x:c r="C131" s="26"/>
      <x:c r="D131" s="26"/>
      <x:c r="E131" s="26"/>
      <x:c r="F131" s="26"/>
      <x:c r="G131" s="26"/>
      <x:c r="H131" s="26"/>
      <x:c r="I131" s="26"/>
      <x:c r="J131" s="26"/>
      <x:c r="K131" s="26"/>
      <x:c r="L131" s="26"/>
      <x:c r="M131" s="26"/>
      <x:c r="N131" s="26"/>
      <x:c r="O131" s="26"/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6"/>
    </x:row>
    <x:row r="132">
      <x:c r="A132" s="26"/>
      <x:c r="B132" s="26"/>
      <x:c r="C132" s="26"/>
      <x:c r="D132" s="26"/>
      <x:c r="E132" s="26"/>
      <x:c r="F132" s="26"/>
      <x:c r="G132" s="26"/>
      <x:c r="H132" s="26"/>
      <x:c r="I132" s="26"/>
      <x:c r="J132" s="26"/>
      <x:c r="K132" s="26"/>
      <x:c r="L132" s="26"/>
      <x:c r="M132" s="26"/>
      <x:c r="N132" s="26"/>
      <x:c r="O132" s="26"/>
      <x:c r="P132" s="26"/>
      <x:c r="Q132" s="26"/>
      <x:c r="R132" s="26"/>
      <x:c r="S132" s="26"/>
      <x:c r="T132" s="26"/>
      <x:c r="U132" s="26"/>
      <x:c r="V132" s="26"/>
      <x:c r="W132" s="26"/>
      <x:c r="X132" s="26"/>
      <x:c r="Y132" s="26"/>
      <x:c r="Z132" s="26"/>
    </x:row>
    <x:row r="133">
      <x:c r="A133" s="26"/>
      <x:c r="B133" s="26"/>
      <x:c r="C133" s="26"/>
      <x:c r="D133" s="26"/>
      <x:c r="E133" s="26"/>
      <x:c r="F133" s="26"/>
      <x:c r="G133" s="26"/>
      <x:c r="H133" s="26"/>
      <x:c r="I133" s="26"/>
      <x:c r="J133" s="26"/>
      <x:c r="K133" s="26"/>
      <x:c r="L133" s="26"/>
      <x:c r="M133" s="26"/>
      <x:c r="N133" s="26"/>
      <x:c r="O133" s="26"/>
      <x:c r="P133" s="26"/>
      <x:c r="Q133" s="26"/>
      <x:c r="R133" s="26"/>
      <x:c r="S133" s="26"/>
      <x:c r="T133" s="26"/>
      <x:c r="U133" s="26"/>
      <x:c r="V133" s="26"/>
      <x:c r="W133" s="26"/>
      <x:c r="X133" s="26"/>
      <x:c r="Y133" s="26"/>
      <x:c r="Z133" s="26"/>
    </x:row>
    <x:row r="134">
      <x:c r="A134" s="26"/>
      <x:c r="B134" s="26"/>
      <x:c r="C134" s="26"/>
      <x:c r="D134" s="26"/>
      <x:c r="E134" s="26"/>
      <x:c r="F134" s="26"/>
      <x:c r="G134" s="26"/>
      <x:c r="H134" s="26"/>
      <x:c r="I134" s="26"/>
      <x:c r="J134" s="26"/>
      <x:c r="K134" s="26"/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6"/>
    </x:row>
    <x:row r="135">
      <x:c r="A135" s="26"/>
      <x:c r="B135" s="26"/>
      <x:c r="C135" s="26"/>
      <x:c r="D135" s="26"/>
      <x:c r="E135" s="26"/>
      <x:c r="F135" s="26"/>
      <x:c r="G135" s="26"/>
      <x:c r="H135" s="26"/>
      <x:c r="I135" s="26"/>
      <x:c r="J135" s="26"/>
      <x:c r="K135" s="26"/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</x:row>
    <x:row r="136">
      <x:c r="A136" s="26"/>
      <x:c r="B136" s="26"/>
      <x:c r="C136" s="26"/>
      <x:c r="D136" s="26"/>
      <x:c r="E136" s="26"/>
      <x:c r="F136" s="26"/>
      <x:c r="G136" s="26"/>
      <x:c r="H136" s="26"/>
      <x:c r="I136" s="26"/>
      <x:c r="J136" s="26"/>
      <x:c r="K136" s="26"/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</x:row>
    <x:row r="137">
      <x:c r="A137" s="26"/>
      <x:c r="B137" s="26"/>
      <x:c r="C137" s="26"/>
      <x:c r="D137" s="26"/>
      <x:c r="E137" s="26"/>
      <x:c r="F137" s="26"/>
      <x:c r="G137" s="26"/>
      <x:c r="H137" s="26"/>
      <x:c r="I137" s="26"/>
      <x:c r="J137" s="26"/>
      <x:c r="K137" s="26"/>
      <x:c r="L137" s="26"/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</x:row>
    <x:row r="138">
      <x:c r="A138" s="26"/>
      <x:c r="B138" s="26"/>
      <x:c r="C138" s="26"/>
      <x:c r="D138" s="26"/>
      <x:c r="E138" s="26"/>
      <x:c r="F138" s="26"/>
      <x:c r="G138" s="26"/>
      <x:c r="H138" s="26"/>
      <x:c r="I138" s="26"/>
      <x:c r="J138" s="26"/>
      <x:c r="K138" s="26"/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</x:row>
    <x:row r="139">
      <x:c r="A139" s="26"/>
      <x:c r="B139" s="26"/>
      <x:c r="C139" s="26"/>
      <x:c r="D139" s="26"/>
      <x:c r="E139" s="26"/>
      <x:c r="F139" s="26"/>
      <x:c r="G139" s="26"/>
      <x:c r="H139" s="26"/>
      <x:c r="I139" s="26"/>
      <x:c r="J139" s="26"/>
      <x:c r="K139" s="26"/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</x:row>
    <x:row r="140">
      <x:c r="A140" s="26"/>
      <x:c r="B140" s="26"/>
      <x:c r="C140" s="26"/>
      <x:c r="D140" s="26"/>
      <x:c r="E140" s="26"/>
      <x:c r="F140" s="26"/>
      <x:c r="G140" s="26"/>
      <x:c r="H140" s="26"/>
      <x:c r="I140" s="26"/>
      <x:c r="J140" s="26"/>
      <x:c r="K140" s="26"/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</x:row>
    <x:row r="141">
      <x:c r="A141" s="26"/>
      <x:c r="B141" s="26"/>
      <x:c r="C141" s="26"/>
      <x:c r="D141" s="26"/>
      <x:c r="E141" s="26"/>
      <x:c r="F141" s="26"/>
      <x:c r="G141" s="26"/>
      <x:c r="H141" s="26"/>
      <x:c r="I141" s="26"/>
      <x:c r="J141" s="26"/>
      <x:c r="K141" s="26"/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</x:row>
    <x:row r="142">
      <x:c r="A142" s="26"/>
      <x:c r="B142" s="26"/>
      <x:c r="C142" s="26"/>
      <x:c r="D142" s="26"/>
      <x:c r="E142" s="26"/>
      <x:c r="F142" s="26"/>
      <x:c r="G142" s="26"/>
      <x:c r="H142" s="26"/>
      <x:c r="I142" s="26"/>
      <x:c r="J142" s="26"/>
      <x:c r="K142" s="26"/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/>
      <x:c r="Z142" s="26"/>
    </x:row>
    <x:row r="143">
      <x:c r="A143" s="26"/>
      <x:c r="B143" s="26"/>
      <x:c r="C143" s="26"/>
      <x:c r="D143" s="26"/>
      <x:c r="E143" s="26"/>
      <x:c r="F143" s="26"/>
      <x:c r="G143" s="26"/>
      <x:c r="H143" s="26"/>
      <x:c r="I143" s="26"/>
      <x:c r="J143" s="26"/>
      <x:c r="K143" s="26"/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</x:row>
    <x:row r="144">
      <x:c r="A144" s="26"/>
      <x:c r="B144" s="26"/>
      <x:c r="C144" s="26"/>
      <x:c r="D144" s="26"/>
      <x:c r="E144" s="26"/>
      <x:c r="F144" s="26"/>
      <x:c r="G144" s="26"/>
      <x:c r="H144" s="26"/>
      <x:c r="I144" s="26"/>
      <x:c r="J144" s="26"/>
      <x:c r="K144" s="26"/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</x:row>
    <x:row r="145">
      <x:c r="A145" s="26"/>
      <x:c r="B145" s="26"/>
      <x:c r="C145" s="26"/>
      <x:c r="D145" s="26"/>
      <x:c r="E145" s="26"/>
      <x:c r="F145" s="26"/>
      <x:c r="G145" s="26"/>
      <x:c r="H145" s="26"/>
      <x:c r="I145" s="26"/>
      <x:c r="J145" s="26"/>
      <x:c r="K145" s="26"/>
      <x:c r="L145" s="26"/>
      <x:c r="M145" s="26"/>
      <x:c r="N145" s="26"/>
      <x:c r="O145" s="26"/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6"/>
    </x:row>
    <x:row r="146">
      <x:c r="A146" s="26"/>
      <x:c r="B146" s="26"/>
      <x:c r="C146" s="26"/>
      <x:c r="D146" s="26"/>
      <x:c r="E146" s="26"/>
      <x:c r="F146" s="26"/>
      <x:c r="G146" s="26"/>
      <x:c r="H146" s="26"/>
      <x:c r="I146" s="26"/>
      <x:c r="J146" s="26"/>
      <x:c r="K146" s="26"/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6"/>
    </x:row>
    <x:row r="147">
      <x:c r="A147" s="26"/>
      <x:c r="B147" s="26"/>
      <x:c r="C147" s="26"/>
      <x:c r="D147" s="26"/>
      <x:c r="E147" s="26"/>
      <x:c r="F147" s="26"/>
      <x:c r="G147" s="26"/>
      <x:c r="H147" s="26"/>
      <x:c r="I147" s="26"/>
      <x:c r="J147" s="26"/>
      <x:c r="K147" s="26"/>
      <x:c r="L147" s="26"/>
      <x:c r="M147" s="26"/>
      <x:c r="N147" s="26"/>
      <x:c r="O147" s="26"/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6"/>
    </x:row>
    <x:row r="148">
      <x:c r="A148" s="26"/>
      <x:c r="B148" s="26"/>
      <x:c r="C148" s="26"/>
      <x:c r="D148" s="26"/>
      <x:c r="E148" s="26"/>
      <x:c r="F148" s="26"/>
      <x:c r="G148" s="26"/>
      <x:c r="H148" s="26"/>
      <x:c r="I148" s="26"/>
      <x:c r="J148" s="26"/>
      <x:c r="K148" s="26"/>
      <x:c r="L148" s="26"/>
      <x:c r="M148" s="26"/>
      <x:c r="N148" s="26"/>
      <x:c r="O148" s="26"/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6"/>
    </x:row>
    <x:row r="149">
      <x:c r="A149" s="26"/>
      <x:c r="B149" s="26"/>
      <x:c r="C149" s="26"/>
      <x:c r="D149" s="26"/>
      <x:c r="E149" s="26"/>
      <x:c r="F149" s="26"/>
      <x:c r="G149" s="26"/>
      <x:c r="H149" s="26"/>
      <x:c r="I149" s="26"/>
      <x:c r="J149" s="26"/>
      <x:c r="K149" s="26"/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6"/>
    </x:row>
    <x:row r="150">
      <x:c r="A150" s="26"/>
      <x:c r="B150" s="26"/>
      <x:c r="C150" s="26"/>
      <x:c r="D150" s="26"/>
      <x:c r="E150" s="26"/>
      <x:c r="F150" s="26"/>
      <x:c r="G150" s="26"/>
      <x:c r="H150" s="26"/>
      <x:c r="I150" s="26"/>
      <x:c r="J150" s="26"/>
      <x:c r="K150" s="26"/>
      <x:c r="L150" s="26"/>
      <x:c r="M150" s="26"/>
      <x:c r="N150" s="26"/>
      <x:c r="O150" s="26"/>
      <x:c r="P150" s="26"/>
      <x:c r="Q150" s="26"/>
      <x:c r="R150" s="26"/>
      <x:c r="S150" s="26"/>
      <x:c r="T150" s="26"/>
      <x:c r="U150" s="26"/>
      <x:c r="V150" s="26"/>
      <x:c r="W150" s="26"/>
      <x:c r="X150" s="26"/>
      <x:c r="Y150" s="26"/>
      <x:c r="Z150" s="26"/>
    </x:row>
    <x:row r="151">
      <x:c r="A151" s="26"/>
      <x:c r="B151" s="26"/>
      <x:c r="C151" s="26"/>
      <x:c r="D151" s="26"/>
      <x:c r="E151" s="26"/>
      <x:c r="F151" s="26"/>
      <x:c r="G151" s="26"/>
      <x:c r="H151" s="26"/>
      <x:c r="I151" s="26"/>
      <x:c r="J151" s="26"/>
      <x:c r="K151" s="26"/>
      <x:c r="L151" s="26"/>
      <x:c r="M151" s="26"/>
      <x:c r="N151" s="26"/>
      <x:c r="O151" s="26"/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/>
      <x:c r="Z151" s="26"/>
    </x:row>
    <x:row r="152">
      <x:c r="A152" s="26"/>
      <x:c r="B152" s="26"/>
      <x:c r="C152" s="26"/>
      <x:c r="D152" s="26"/>
      <x:c r="E152" s="26"/>
      <x:c r="F152" s="26"/>
      <x:c r="G152" s="26"/>
      <x:c r="H152" s="26"/>
      <x:c r="I152" s="26"/>
      <x:c r="J152" s="26"/>
      <x:c r="K152" s="26"/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/>
      <x:c r="W152" s="26"/>
      <x:c r="X152" s="26"/>
      <x:c r="Y152" s="26"/>
      <x:c r="Z152" s="26"/>
    </x:row>
    <x:row r="153">
      <x:c r="A153" s="26"/>
      <x:c r="B153" s="26"/>
      <x:c r="C153" s="26"/>
      <x:c r="D153" s="26"/>
      <x:c r="E153" s="26"/>
      <x:c r="F153" s="26"/>
      <x:c r="G153" s="26"/>
      <x:c r="H153" s="26"/>
      <x:c r="I153" s="26"/>
      <x:c r="J153" s="26"/>
      <x:c r="K153" s="26"/>
      <x:c r="L153" s="26"/>
      <x:c r="M153" s="26"/>
      <x:c r="N153" s="26"/>
      <x:c r="O153" s="26"/>
      <x:c r="P153" s="26"/>
      <x:c r="Q153" s="26"/>
      <x:c r="R153" s="26"/>
      <x:c r="S153" s="26"/>
      <x:c r="T153" s="26"/>
      <x:c r="U153" s="26"/>
      <x:c r="V153" s="26"/>
      <x:c r="W153" s="26"/>
      <x:c r="X153" s="26"/>
      <x:c r="Y153" s="26"/>
      <x:c r="Z153" s="26"/>
    </x:row>
    <x:row r="154">
      <x:c r="A154" s="26"/>
      <x:c r="B154" s="26"/>
      <x:c r="C154" s="26"/>
      <x:c r="D154" s="26"/>
      <x:c r="E154" s="26"/>
      <x:c r="F154" s="26"/>
      <x:c r="G154" s="26"/>
      <x:c r="H154" s="26"/>
      <x:c r="I154" s="26"/>
      <x:c r="J154" s="26"/>
      <x:c r="K154" s="26"/>
      <x:c r="L154" s="26"/>
      <x:c r="M154" s="26"/>
      <x:c r="N154" s="26"/>
      <x:c r="O154" s="26"/>
      <x:c r="P154" s="26"/>
      <x:c r="Q154" s="26"/>
      <x:c r="R154" s="26"/>
      <x:c r="S154" s="26"/>
      <x:c r="T154" s="26"/>
      <x:c r="U154" s="26"/>
      <x:c r="V154" s="26"/>
      <x:c r="W154" s="26"/>
      <x:c r="X154" s="26"/>
      <x:c r="Y154" s="26"/>
      <x:c r="Z154" s="26"/>
    </x:row>
    <x:row r="155">
      <x:c r="A155" s="26"/>
      <x:c r="B155" s="26"/>
      <x:c r="C155" s="26"/>
      <x:c r="D155" s="26"/>
      <x:c r="E155" s="26"/>
      <x:c r="F155" s="26"/>
      <x:c r="G155" s="26"/>
      <x:c r="H155" s="26"/>
      <x:c r="I155" s="26"/>
      <x:c r="J155" s="26"/>
      <x:c r="K155" s="26"/>
      <x:c r="L155" s="26"/>
      <x:c r="M155" s="26"/>
      <x:c r="N155" s="26"/>
      <x:c r="O155" s="26"/>
      <x:c r="P155" s="26"/>
      <x:c r="Q155" s="26"/>
      <x:c r="R155" s="26"/>
      <x:c r="S155" s="26"/>
      <x:c r="T155" s="26"/>
      <x:c r="U155" s="26"/>
      <x:c r="V155" s="26"/>
      <x:c r="W155" s="26"/>
      <x:c r="X155" s="26"/>
      <x:c r="Y155" s="26"/>
      <x:c r="Z155" s="26"/>
    </x:row>
    <x:row r="156">
      <x:c r="A156" s="26"/>
      <x:c r="B156" s="26"/>
      <x:c r="C156" s="26"/>
      <x:c r="D156" s="26"/>
      <x:c r="E156" s="26"/>
      <x:c r="F156" s="26"/>
      <x:c r="G156" s="26"/>
      <x:c r="H156" s="26"/>
      <x:c r="I156" s="26"/>
      <x:c r="J156" s="26"/>
      <x:c r="K156" s="26"/>
      <x:c r="L156" s="26"/>
      <x:c r="M156" s="26"/>
      <x:c r="N156" s="26"/>
      <x:c r="O156" s="26"/>
      <x:c r="P156" s="26"/>
      <x:c r="Q156" s="26"/>
      <x:c r="R156" s="26"/>
      <x:c r="S156" s="26"/>
      <x:c r="T156" s="26"/>
      <x:c r="U156" s="26"/>
      <x:c r="V156" s="26"/>
      <x:c r="W156" s="26"/>
      <x:c r="X156" s="26"/>
      <x:c r="Y156" s="26"/>
      <x:c r="Z156" s="26"/>
    </x:row>
    <x:row r="157">
      <x:c r="A157" s="26"/>
      <x:c r="B157" s="26"/>
      <x:c r="C157" s="26"/>
      <x:c r="D157" s="26"/>
      <x:c r="E157" s="26"/>
      <x:c r="F157" s="26"/>
      <x:c r="G157" s="26"/>
      <x:c r="H157" s="26"/>
      <x:c r="I157" s="26"/>
      <x:c r="J157" s="26"/>
      <x:c r="K157" s="26"/>
      <x:c r="L157" s="26"/>
      <x:c r="M157" s="26"/>
      <x:c r="N157" s="26"/>
      <x:c r="O157" s="26"/>
      <x:c r="P157" s="26"/>
      <x:c r="Q157" s="26"/>
      <x:c r="R157" s="26"/>
      <x:c r="S157" s="26"/>
      <x:c r="T157" s="26"/>
      <x:c r="U157" s="26"/>
      <x:c r="V157" s="26"/>
      <x:c r="W157" s="26"/>
      <x:c r="X157" s="26"/>
      <x:c r="Y157" s="26"/>
      <x:c r="Z157" s="26"/>
    </x:row>
    <x:row r="158">
      <x:c r="A158" s="26"/>
      <x:c r="B158" s="26"/>
      <x:c r="C158" s="26"/>
      <x:c r="D158" s="26"/>
      <x:c r="E158" s="26"/>
      <x:c r="F158" s="26"/>
      <x:c r="G158" s="26"/>
      <x:c r="H158" s="26"/>
      <x:c r="I158" s="26"/>
      <x:c r="J158" s="26"/>
      <x:c r="K158" s="26"/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</x:row>
    <x:row r="159">
      <x:c r="A159" s="26"/>
      <x:c r="B159" s="26"/>
      <x:c r="C159" s="26"/>
      <x:c r="D159" s="26"/>
      <x:c r="E159" s="26"/>
      <x:c r="F159" s="26"/>
      <x:c r="G159" s="26"/>
      <x:c r="H159" s="26"/>
      <x:c r="I159" s="26"/>
      <x:c r="J159" s="26"/>
      <x:c r="K159" s="26"/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</x:row>
    <x:row r="160">
      <x:c r="A160" s="26"/>
      <x:c r="B160" s="26"/>
      <x:c r="C160" s="26"/>
      <x:c r="D160" s="26"/>
      <x:c r="E160" s="26"/>
      <x:c r="F160" s="26"/>
      <x:c r="G160" s="26"/>
      <x:c r="H160" s="26"/>
      <x:c r="I160" s="26"/>
      <x:c r="J160" s="26"/>
      <x:c r="K160" s="26"/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</x:row>
    <x:row r="161">
      <x:c r="A161" s="26"/>
      <x:c r="B161" s="26"/>
      <x:c r="C161" s="26"/>
      <x:c r="D161" s="26"/>
      <x:c r="E161" s="26"/>
      <x:c r="F161" s="26"/>
      <x:c r="G161" s="26"/>
      <x:c r="H161" s="26"/>
      <x:c r="I161" s="26"/>
      <x:c r="J161" s="26"/>
      <x:c r="K161" s="26"/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</x:row>
    <x:row r="162">
      <x:c r="A162" s="26"/>
      <x:c r="B162" s="26"/>
      <x:c r="C162" s="26"/>
      <x:c r="D162" s="26"/>
      <x:c r="E162" s="26"/>
      <x:c r="F162" s="26"/>
      <x:c r="G162" s="26"/>
      <x:c r="H162" s="26"/>
      <x:c r="I162" s="26"/>
      <x:c r="J162" s="26"/>
      <x:c r="K162" s="26"/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</x:row>
    <x:row r="163">
      <x:c r="A163" s="26"/>
      <x:c r="B163" s="26"/>
      <x:c r="C163" s="26"/>
      <x:c r="D163" s="26"/>
      <x:c r="E163" s="26"/>
      <x:c r="F163" s="26"/>
      <x:c r="G163" s="26"/>
      <x:c r="H163" s="26"/>
      <x:c r="I163" s="26"/>
      <x:c r="J163" s="26"/>
      <x:c r="K163" s="26"/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</x:row>
    <x:row r="164">
      <x:c r="A164" s="26"/>
      <x:c r="B164" s="26"/>
      <x:c r="C164" s="26"/>
      <x:c r="D164" s="26"/>
      <x:c r="E164" s="26"/>
      <x:c r="F164" s="26"/>
      <x:c r="G164" s="26"/>
      <x:c r="H164" s="26"/>
      <x:c r="I164" s="26"/>
      <x:c r="J164" s="26"/>
      <x:c r="K164" s="26"/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</x:row>
    <x:row r="165">
      <x:c r="A165" s="26"/>
      <x:c r="B165" s="26"/>
      <x:c r="C165" s="26"/>
      <x:c r="D165" s="26"/>
      <x:c r="E165" s="26"/>
      <x:c r="F165" s="26"/>
      <x:c r="G165" s="26"/>
      <x:c r="H165" s="26"/>
      <x:c r="I165" s="26"/>
      <x:c r="J165" s="26"/>
      <x:c r="K165" s="26"/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</x:row>
    <x:row r="166">
      <x:c r="A166" s="26"/>
      <x:c r="B166" s="26"/>
      <x:c r="C166" s="26"/>
      <x:c r="D166" s="26"/>
      <x:c r="E166" s="26"/>
      <x:c r="F166" s="26"/>
      <x:c r="G166" s="26"/>
      <x:c r="H166" s="26"/>
      <x:c r="I166" s="26"/>
      <x:c r="J166" s="26"/>
      <x:c r="K166" s="26"/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</x:row>
    <x:row r="167">
      <x:c r="A167" s="26"/>
      <x:c r="B167" s="26"/>
      <x:c r="C167" s="26"/>
      <x:c r="D167" s="26"/>
      <x:c r="E167" s="26"/>
      <x:c r="F167" s="26"/>
      <x:c r="G167" s="26"/>
      <x:c r="H167" s="26"/>
      <x:c r="I167" s="26"/>
      <x:c r="J167" s="26"/>
      <x:c r="K167" s="26"/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</x:row>
    <x:row r="168">
      <x:c r="A168" s="26"/>
      <x:c r="B168" s="26"/>
      <x:c r="C168" s="26"/>
      <x:c r="D168" s="26"/>
      <x:c r="E168" s="26"/>
      <x:c r="F168" s="26"/>
      <x:c r="G168" s="26"/>
      <x:c r="H168" s="26"/>
      <x:c r="I168" s="26"/>
      <x:c r="J168" s="26"/>
      <x:c r="K168" s="26"/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</x:row>
    <x:row r="169">
      <x:c r="A169" s="26"/>
      <x:c r="B169" s="26"/>
      <x:c r="C169" s="26"/>
      <x:c r="D169" s="26"/>
      <x:c r="E169" s="26"/>
      <x:c r="F169" s="26"/>
      <x:c r="G169" s="26"/>
      <x:c r="H169" s="26"/>
      <x:c r="I169" s="26"/>
      <x:c r="J169" s="26"/>
      <x:c r="K169" s="26"/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</x:row>
    <x:row r="170">
      <x:c r="A170" s="26"/>
      <x:c r="B170" s="26"/>
      <x:c r="C170" s="26"/>
      <x:c r="D170" s="26"/>
      <x:c r="E170" s="26"/>
      <x:c r="F170" s="26"/>
      <x:c r="G170" s="26"/>
      <x:c r="H170" s="26"/>
      <x:c r="I170" s="26"/>
      <x:c r="J170" s="26"/>
      <x:c r="K170" s="26"/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</x:row>
    <x:row r="171">
      <x:c r="A171" s="26"/>
      <x:c r="B171" s="26"/>
      <x:c r="C171" s="26"/>
      <x:c r="D171" s="26"/>
      <x:c r="E171" s="26"/>
      <x:c r="F171" s="26"/>
      <x:c r="G171" s="26"/>
      <x:c r="H171" s="26"/>
      <x:c r="I171" s="26"/>
      <x:c r="J171" s="26"/>
      <x:c r="K171" s="26"/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</x:row>
    <x:row r="172">
      <x:c r="A172" s="26"/>
      <x:c r="B172" s="26"/>
      <x:c r="C172" s="26"/>
      <x:c r="D172" s="26"/>
      <x:c r="E172" s="26"/>
      <x:c r="F172" s="26"/>
      <x:c r="G172" s="26"/>
      <x:c r="H172" s="26"/>
      <x:c r="I172" s="26"/>
      <x:c r="J172" s="26"/>
      <x:c r="K172" s="26"/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</x:row>
    <x:row r="173">
      <x:c r="A173" s="26"/>
      <x:c r="B173" s="26"/>
      <x:c r="C173" s="26"/>
      <x:c r="D173" s="26"/>
      <x:c r="E173" s="26"/>
      <x:c r="F173" s="26"/>
      <x:c r="G173" s="26"/>
      <x:c r="H173" s="26"/>
      <x:c r="I173" s="26"/>
      <x:c r="J173" s="26"/>
      <x:c r="K173" s="26"/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</x:row>
    <x:row r="174">
      <x:c r="A174" s="26"/>
      <x:c r="B174" s="26"/>
      <x:c r="C174" s="26"/>
      <x:c r="D174" s="26"/>
      <x:c r="E174" s="26"/>
      <x:c r="F174" s="26"/>
      <x:c r="G174" s="26"/>
      <x:c r="H174" s="26"/>
      <x:c r="I174" s="26"/>
      <x:c r="J174" s="26"/>
      <x:c r="K174" s="26"/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</x:row>
    <x:row r="175">
      <x:c r="A175" s="26"/>
      <x:c r="B175" s="26"/>
      <x:c r="C175" s="26"/>
      <x:c r="D175" s="26"/>
      <x:c r="E175" s="26"/>
      <x:c r="F175" s="26"/>
      <x:c r="G175" s="26"/>
      <x:c r="H175" s="26"/>
      <x:c r="I175" s="26"/>
      <x:c r="J175" s="26"/>
      <x:c r="K175" s="26"/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</x:row>
    <x:row r="176">
      <x:c r="A176" s="26"/>
      <x:c r="B176" s="26"/>
      <x:c r="C176" s="26"/>
      <x:c r="D176" s="26"/>
      <x:c r="E176" s="26"/>
      <x:c r="F176" s="26"/>
      <x:c r="G176" s="26"/>
      <x:c r="H176" s="26"/>
      <x:c r="I176" s="26"/>
      <x:c r="J176" s="26"/>
      <x:c r="K176" s="26"/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</x:row>
    <x:row r="177">
      <x:c r="A177" s="26"/>
      <x:c r="B177" s="26"/>
      <x:c r="C177" s="26"/>
      <x:c r="D177" s="26"/>
      <x:c r="E177" s="26"/>
      <x:c r="F177" s="26"/>
      <x:c r="G177" s="26"/>
      <x:c r="H177" s="26"/>
      <x:c r="I177" s="26"/>
      <x:c r="J177" s="26"/>
      <x:c r="K177" s="26"/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</x:row>
    <x:row r="178">
      <x:c r="A178" s="26"/>
      <x:c r="B178" s="26"/>
      <x:c r="C178" s="26"/>
      <x:c r="D178" s="26"/>
      <x:c r="E178" s="26"/>
      <x:c r="F178" s="26"/>
      <x:c r="G178" s="26"/>
      <x:c r="H178" s="26"/>
      <x:c r="I178" s="26"/>
      <x:c r="J178" s="26"/>
      <x:c r="K178" s="26"/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</x:row>
    <x:row r="179">
      <x:c r="A179" s="26"/>
      <x:c r="B179" s="26"/>
      <x:c r="C179" s="26"/>
      <x:c r="D179" s="26"/>
      <x:c r="E179" s="26"/>
      <x:c r="F179" s="26"/>
      <x:c r="G179" s="26"/>
      <x:c r="H179" s="26"/>
      <x:c r="I179" s="26"/>
      <x:c r="J179" s="26"/>
      <x:c r="K179" s="26"/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</x:row>
    <x:row r="180">
      <x:c r="A180" s="26"/>
      <x:c r="B180" s="26"/>
      <x:c r="C180" s="26"/>
      <x:c r="D180" s="26"/>
      <x:c r="E180" s="26"/>
      <x:c r="F180" s="26"/>
      <x:c r="G180" s="26"/>
      <x:c r="H180" s="26"/>
      <x:c r="I180" s="26"/>
      <x:c r="J180" s="26"/>
      <x:c r="K180" s="26"/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</x:row>
    <x:row r="181">
      <x:c r="A181" s="26"/>
      <x:c r="B181" s="26"/>
      <x:c r="C181" s="26"/>
      <x:c r="D181" s="26"/>
      <x:c r="E181" s="26"/>
      <x:c r="F181" s="26"/>
      <x:c r="G181" s="26"/>
      <x:c r="H181" s="26"/>
      <x:c r="I181" s="26"/>
      <x:c r="J181" s="26"/>
      <x:c r="K181" s="26"/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</x:row>
    <x:row r="182">
      <x:c r="A182" s="26"/>
      <x:c r="B182" s="26"/>
      <x:c r="C182" s="26"/>
      <x:c r="D182" s="26"/>
      <x:c r="E182" s="26"/>
      <x:c r="F182" s="26"/>
      <x:c r="G182" s="26"/>
      <x:c r="H182" s="26"/>
      <x:c r="I182" s="26"/>
      <x:c r="J182" s="26"/>
      <x:c r="K182" s="26"/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</x:row>
    <x:row r="183">
      <x:c r="A183" s="26"/>
      <x:c r="B183" s="26"/>
      <x:c r="C183" s="26"/>
      <x:c r="D183" s="26"/>
      <x:c r="E183" s="26"/>
      <x:c r="F183" s="26"/>
      <x:c r="G183" s="26"/>
      <x:c r="H183" s="26"/>
      <x:c r="I183" s="26"/>
      <x:c r="J183" s="26"/>
      <x:c r="K183" s="26"/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</x:row>
    <x:row r="184">
      <x:c r="A184" s="26"/>
      <x:c r="B184" s="26"/>
      <x:c r="C184" s="26"/>
      <x:c r="D184" s="26"/>
      <x:c r="E184" s="26"/>
      <x:c r="F184" s="26"/>
      <x:c r="G184" s="26"/>
      <x:c r="H184" s="26"/>
      <x:c r="I184" s="26"/>
      <x:c r="J184" s="26"/>
      <x:c r="K184" s="26"/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</x:row>
    <x:row r="185">
      <x:c r="A185" s="26"/>
      <x:c r="B185" s="26"/>
      <x:c r="C185" s="26"/>
      <x:c r="D185" s="26"/>
      <x:c r="E185" s="26"/>
      <x:c r="F185" s="26"/>
      <x:c r="G185" s="26"/>
      <x:c r="H185" s="26"/>
      <x:c r="I185" s="26"/>
      <x:c r="J185" s="26"/>
      <x:c r="K185" s="26"/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</x:row>
    <x:row r="186">
      <x:c r="A186" s="26"/>
      <x:c r="B186" s="26"/>
      <x:c r="C186" s="26"/>
      <x:c r="D186" s="26"/>
      <x:c r="E186" s="26"/>
      <x:c r="F186" s="26"/>
      <x:c r="G186" s="26"/>
      <x:c r="H186" s="26"/>
      <x:c r="I186" s="26"/>
      <x:c r="J186" s="26"/>
      <x:c r="K186" s="26"/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</x:row>
    <x:row r="187">
      <x:c r="A187" s="26"/>
      <x:c r="B187" s="26"/>
      <x:c r="C187" s="26"/>
      <x:c r="D187" s="26"/>
      <x:c r="E187" s="26"/>
      <x:c r="F187" s="26"/>
      <x:c r="G187" s="26"/>
      <x:c r="H187" s="26"/>
      <x:c r="I187" s="26"/>
      <x:c r="J187" s="26"/>
      <x:c r="K187" s="26"/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</x:row>
    <x:row r="188">
      <x:c r="A188" s="26"/>
      <x:c r="B188" s="26"/>
      <x:c r="C188" s="26"/>
      <x:c r="D188" s="26"/>
      <x:c r="E188" s="26"/>
      <x:c r="F188" s="26"/>
      <x:c r="G188" s="26"/>
      <x:c r="H188" s="26"/>
      <x:c r="I188" s="26"/>
      <x:c r="J188" s="26"/>
      <x:c r="K188" s="26"/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</x:row>
    <x:row r="189">
      <x:c r="A189" s="26"/>
      <x:c r="B189" s="26"/>
      <x:c r="C189" s="26"/>
      <x:c r="D189" s="26"/>
      <x:c r="E189" s="26"/>
      <x:c r="F189" s="26"/>
      <x:c r="G189" s="26"/>
      <x:c r="H189" s="26"/>
      <x:c r="I189" s="26"/>
      <x:c r="J189" s="26"/>
      <x:c r="K189" s="26"/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</x:row>
    <x:row r="190">
      <x:c r="A190" s="26"/>
      <x:c r="B190" s="26"/>
      <x:c r="C190" s="26"/>
      <x:c r="D190" s="26"/>
      <x:c r="E190" s="26"/>
      <x:c r="F190" s="26"/>
      <x:c r="G190" s="26"/>
      <x:c r="H190" s="26"/>
      <x:c r="I190" s="26"/>
      <x:c r="J190" s="26"/>
      <x:c r="K190" s="26"/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</x:row>
    <x:row r="191">
      <x:c r="A191" s="26"/>
      <x:c r="B191" s="26"/>
      <x:c r="C191" s="26"/>
      <x:c r="D191" s="26"/>
      <x:c r="E191" s="26"/>
      <x:c r="F191" s="26"/>
      <x:c r="G191" s="26"/>
      <x:c r="H191" s="26"/>
      <x:c r="I191" s="26"/>
      <x:c r="J191" s="26"/>
      <x:c r="K191" s="26"/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</x:row>
    <x:row r="192">
      <x:c r="A192" s="26"/>
      <x:c r="B192" s="26"/>
      <x:c r="C192" s="26"/>
      <x:c r="D192" s="26"/>
      <x:c r="E192" s="26"/>
      <x:c r="F192" s="26"/>
      <x:c r="G192" s="26"/>
      <x:c r="H192" s="26"/>
      <x:c r="I192" s="26"/>
      <x:c r="J192" s="26"/>
      <x:c r="K192" s="26"/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</x:row>
    <x:row r="193">
      <x:c r="A193" s="26"/>
      <x:c r="B193" s="26"/>
      <x:c r="C193" s="26"/>
      <x:c r="D193" s="26"/>
      <x:c r="E193" s="26"/>
      <x:c r="F193" s="26"/>
      <x:c r="G193" s="26"/>
      <x:c r="H193" s="26"/>
      <x:c r="I193" s="26"/>
      <x:c r="J193" s="26"/>
      <x:c r="K193" s="26"/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</x:row>
    <x:row r="194">
      <x:c r="A194" s="26"/>
      <x:c r="B194" s="26"/>
      <x:c r="C194" s="26"/>
      <x:c r="D194" s="26"/>
      <x:c r="E194" s="26"/>
      <x:c r="F194" s="26"/>
      <x:c r="G194" s="26"/>
      <x:c r="H194" s="26"/>
      <x:c r="I194" s="26"/>
      <x:c r="J194" s="26"/>
      <x:c r="K194" s="26"/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</x:row>
    <x:row r="195">
      <x:c r="A195" s="26"/>
      <x:c r="B195" s="26"/>
      <x:c r="C195" s="26"/>
      <x:c r="D195" s="26"/>
      <x:c r="E195" s="26"/>
      <x:c r="F195" s="26"/>
      <x:c r="G195" s="26"/>
      <x:c r="H195" s="26"/>
      <x:c r="I195" s="26"/>
      <x:c r="J195" s="26"/>
      <x:c r="K195" s="26"/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</x:row>
    <x:row r="196">
      <x:c r="A196" s="26"/>
      <x:c r="B196" s="26"/>
      <x:c r="C196" s="26"/>
      <x:c r="D196" s="26"/>
      <x:c r="E196" s="26"/>
      <x:c r="F196" s="26"/>
      <x:c r="G196" s="26"/>
      <x:c r="H196" s="26"/>
      <x:c r="I196" s="26"/>
      <x:c r="J196" s="26"/>
      <x:c r="K196" s="26"/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</x:row>
    <x:row r="197">
      <x:c r="A197" s="26"/>
      <x:c r="B197" s="26"/>
      <x:c r="C197" s="26"/>
      <x:c r="D197" s="26"/>
      <x:c r="E197" s="26"/>
      <x:c r="F197" s="26"/>
      <x:c r="G197" s="26"/>
      <x:c r="H197" s="26"/>
      <x:c r="I197" s="26"/>
      <x:c r="J197" s="26"/>
      <x:c r="K197" s="26"/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</x:row>
    <x:row r="198">
      <x:c r="A198" s="26"/>
      <x:c r="B198" s="26"/>
      <x:c r="C198" s="26"/>
      <x:c r="D198" s="26"/>
      <x:c r="E198" s="26"/>
      <x:c r="F198" s="26"/>
      <x:c r="G198" s="26"/>
      <x:c r="H198" s="26"/>
      <x:c r="I198" s="26"/>
      <x:c r="J198" s="26"/>
      <x:c r="K198" s="26"/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</x:row>
    <x:row r="199">
      <x:c r="A199" s="26"/>
      <x:c r="B199" s="26"/>
      <x:c r="C199" s="26"/>
      <x:c r="D199" s="26"/>
      <x:c r="E199" s="26"/>
      <x:c r="F199" s="26"/>
      <x:c r="G199" s="26"/>
      <x:c r="H199" s="26"/>
      <x:c r="I199" s="26"/>
      <x:c r="J199" s="26"/>
      <x:c r="K199" s="26"/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</x:row>
    <x:row r="200">
      <x:c r="A200" s="26"/>
      <x:c r="B200" s="26"/>
      <x:c r="C200" s="26"/>
      <x:c r="D200" s="26"/>
      <x:c r="E200" s="26"/>
      <x:c r="F200" s="26"/>
      <x:c r="G200" s="26"/>
      <x:c r="H200" s="26"/>
      <x:c r="I200" s="26"/>
      <x:c r="J200" s="26"/>
      <x:c r="K200" s="26"/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57c29d58ad9d4847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50" t="str">
        <x:v>Sensitivity Analysis — LTV/CAC by Conversion and Churn</x:v>
      </x:c>
      <x:c r="B1" s="50"/>
      <x:c r="C1" s="50"/>
      <x:c r="D1" s="50"/>
      <x:c r="E1" s="50"/>
      <x:c r="F1" s="50"/>
      <x:c r="G1" s="50"/>
      <x:c r="H1" s="50"/>
      <x:c r="I1" s="26"/>
      <x:c r="J1" s="26"/>
      <x:c r="K1" s="26"/>
      <x:c r="L1" s="26"/>
      <x:c r="M1" s="26"/>
      <x:c r="N1" s="26"/>
      <x:c r="O1" s="26"/>
      <x:c r="P1" s="26"/>
      <x:c r="Q1" s="26"/>
      <x:c r="R1" s="26"/>
      <x:c r="S1" s="26"/>
      <x:c r="T1" s="26"/>
      <x:c r="U1" s="26"/>
      <x:c r="V1" s="26"/>
      <x:c r="W1" s="26"/>
      <x:c r="X1" s="26"/>
      <x:c r="Y1" s="26"/>
      <x:c r="Z1" s="26"/>
    </x:row>
    <x:row r="2">
      <x:c r="A2" s="26"/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</x:row>
    <x:row r="3">
      <x:c r="A3" s="14" t="str">
        <x:v>Activation→Paid \ Churn</x:v>
      </x:c>
      <x:c r="B3" s="48" t="n">
        <x:v>0.03</x:v>
      </x:c>
      <x:c r="C3" s="48" t="n">
        <x:v>0.04</x:v>
      </x:c>
      <x:c r="D3" s="48" t="n">
        <x:v>0.05</x:v>
      </x:c>
      <x:c r="E3" s="48" t="n">
        <x:v>0.06</x:v>
      </x:c>
      <x:c r="F3" s="48" t="n">
        <x:v>0.07</x:v>
      </x:c>
      <x:c r="G3" s="48" t="n">
        <x:v>0.08</x:v>
      </x:c>
      <x:c r="H3" s="48" t="n">
        <x:v>0.1</x:v>
      </x:c>
      <x:c r="I3" s="26"/>
      <x:c r="J3" s="26"/>
      <x:c r="K3" s="26"/>
      <x:c r="L3" s="26"/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</x:row>
    <x:row r="4">
      <x:c r="A4" s="66" t="n">
        <x:v>0.1</x:v>
      </x:c>
      <x:c r="B4" s="60" t="n">
        <x:f>IFERROR((Unit_Economics!$C$11*Unit_Economics!$C$14/B$3)/((Costs!$J$27+Costs!$K$27)/(Funnel!$F$27*$A4)),0)</x:f>
        <x:v>46.275235714285714</x:v>
      </x:c>
      <x:c r="C4" s="60" t="n">
        <x:f>IFERROR((Unit_Economics!$C$11*Unit_Economics!$C$14/C$3)/((Costs!$J$27+Costs!$K$27)/(Funnel!$F$27*$A4)),0)</x:f>
        <x:v>34.70642678571429</x:v>
      </x:c>
      <x:c r="D4" s="60" t="n">
        <x:f>IFERROR((Unit_Economics!$C$11*Unit_Economics!$C$14/D$3)/((Costs!$J$27+Costs!$K$27)/(Funnel!$F$27*$A4)),0)</x:f>
        <x:v>27.765141428571425</x:v>
      </x:c>
      <x:c r="E4" s="60" t="n">
        <x:f>IFERROR((Unit_Economics!$C$11*Unit_Economics!$C$14/E$3)/((Costs!$J$27+Costs!$K$27)/(Funnel!$F$27*$A4)),0)</x:f>
        <x:v>23.137617857142857</x:v>
      </x:c>
      <x:c r="F4" s="60" t="n">
        <x:f>IFERROR((Unit_Economics!$C$11*Unit_Economics!$C$14/F$3)/((Costs!$J$27+Costs!$K$27)/(Funnel!$F$27*$A4)),0)</x:f>
        <x:v>19.83224387755102</x:v>
      </x:c>
      <x:c r="G4" s="60" t="n">
        <x:f>IFERROR((Unit_Economics!$C$11*Unit_Economics!$C$14/G$3)/((Costs!$J$27+Costs!$K$27)/(Funnel!$F$27*$A4)),0)</x:f>
        <x:v>17.353213392857146</x:v>
      </x:c>
      <x:c r="H4" s="60" t="n">
        <x:f>IFERROR((Unit_Economics!$C$11*Unit_Economics!$C$14/H$3)/((Costs!$J$27+Costs!$K$27)/(Funnel!$F$27*$A4)),0)</x:f>
        <x:v>13.882570714285713</x:v>
      </x:c>
      <x:c r="I4" s="26"/>
      <x:c r="J4" s="26"/>
      <x:c r="K4" s="26"/>
      <x:c r="L4" s="26"/>
      <x:c r="M4" s="26"/>
      <x:c r="N4" s="26"/>
      <x:c r="O4" s="26"/>
      <x:c r="P4" s="26"/>
      <x:c r="Q4" s="26"/>
      <x:c r="R4" s="26"/>
      <x:c r="S4" s="26"/>
      <x:c r="T4" s="26"/>
      <x:c r="U4" s="26"/>
      <x:c r="V4" s="26"/>
      <x:c r="W4" s="26"/>
      <x:c r="X4" s="26"/>
      <x:c r="Y4" s="26"/>
      <x:c r="Z4" s="26"/>
    </x:row>
    <x:row r="5">
      <x:c r="A5" s="66" t="n">
        <x:v>0.15</x:v>
      </x:c>
      <x:c r="B5" s="60" t="n">
        <x:f>IFERROR((Unit_Economics!$C$11*Unit_Economics!$C$14/B$3)/((Costs!$J$27+Costs!$K$27)/(Funnel!$F$27*$A5)),0)</x:f>
        <x:v>69.41285357142857</x:v>
      </x:c>
      <x:c r="C5" s="60" t="n">
        <x:f>IFERROR((Unit_Economics!$C$11*Unit_Economics!$C$14/C$3)/((Costs!$J$27+Costs!$K$27)/(Funnel!$F$27*$A5)),0)</x:f>
        <x:v>52.05964017857143</x:v>
      </x:c>
      <x:c r="D5" s="60" t="n">
        <x:f>IFERROR((Unit_Economics!$C$11*Unit_Economics!$C$14/D$3)/((Costs!$J$27+Costs!$K$27)/(Funnel!$F$27*$A5)),0)</x:f>
        <x:v>41.64771214285714</x:v>
      </x:c>
      <x:c r="E5" s="60" t="n">
        <x:f>IFERROR((Unit_Economics!$C$11*Unit_Economics!$C$14/E$3)/((Costs!$J$27+Costs!$K$27)/(Funnel!$F$27*$A5)),0)</x:f>
        <x:v>34.706426785714285</x:v>
      </x:c>
      <x:c r="F5" s="60" t="n">
        <x:f>IFERROR((Unit_Economics!$C$11*Unit_Economics!$C$14/F$3)/((Costs!$J$27+Costs!$K$27)/(Funnel!$F$27*$A5)),0)</x:f>
        <x:v>29.748365816326526</x:v>
      </x:c>
      <x:c r="G5" s="60" t="n">
        <x:f>IFERROR((Unit_Economics!$C$11*Unit_Economics!$C$14/G$3)/((Costs!$J$27+Costs!$K$27)/(Funnel!$F$27*$A5)),0)</x:f>
        <x:v>26.029820089285714</x:v>
      </x:c>
      <x:c r="H5" s="60" t="n">
        <x:f>IFERROR((Unit_Economics!$C$11*Unit_Economics!$C$14/H$3)/((Costs!$J$27+Costs!$K$27)/(Funnel!$F$27*$A5)),0)</x:f>
        <x:v>20.82385607142857</x:v>
      </x:c>
      <x:c r="I5" s="26"/>
      <x:c r="J5" s="26"/>
      <x:c r="K5" s="26"/>
      <x:c r="L5" s="26"/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>
      <x:c r="A6" s="66" t="n">
        <x:v>0.2</x:v>
      </x:c>
      <x:c r="B6" s="60" t="n">
        <x:f>IFERROR((Unit_Economics!$C$11*Unit_Economics!$C$14/B$3)/((Costs!$J$27+Costs!$K$27)/(Funnel!$F$27*$A6)),0)</x:f>
        <x:v>92.55047142857143</x:v>
      </x:c>
      <x:c r="C6" s="60" t="n">
        <x:f>IFERROR((Unit_Economics!$C$11*Unit_Economics!$C$14/C$3)/((Costs!$J$27+Costs!$K$27)/(Funnel!$F$27*$A6)),0)</x:f>
        <x:v>69.41285357142858</x:v>
      </x:c>
      <x:c r="D6" s="60" t="n">
        <x:f>IFERROR((Unit_Economics!$C$11*Unit_Economics!$C$14/D$3)/((Costs!$J$27+Costs!$K$27)/(Funnel!$F$27*$A6)),0)</x:f>
        <x:v>55.53028285714285</x:v>
      </x:c>
      <x:c r="E6" s="60" t="n">
        <x:f>IFERROR((Unit_Economics!$C$11*Unit_Economics!$C$14/E$3)/((Costs!$J$27+Costs!$K$27)/(Funnel!$F$27*$A6)),0)</x:f>
        <x:v>46.275235714285714</x:v>
      </x:c>
      <x:c r="F6" s="60" t="n">
        <x:f>IFERROR((Unit_Economics!$C$11*Unit_Economics!$C$14/F$3)/((Costs!$J$27+Costs!$K$27)/(Funnel!$F$27*$A6)),0)</x:f>
        <x:v>39.66448775510204</x:v>
      </x:c>
      <x:c r="G6" s="60" t="n">
        <x:f>IFERROR((Unit_Economics!$C$11*Unit_Economics!$C$14/G$3)/((Costs!$J$27+Costs!$K$27)/(Funnel!$F$27*$A6)),0)</x:f>
        <x:v>34.70642678571429</x:v>
      </x:c>
      <x:c r="H6" s="60" t="n">
        <x:f>IFERROR((Unit_Economics!$C$11*Unit_Economics!$C$14/H$3)/((Costs!$J$27+Costs!$K$27)/(Funnel!$F$27*$A6)),0)</x:f>
        <x:v>27.765141428571425</x:v>
      </x:c>
      <x:c r="I6" s="26"/>
      <x:c r="J6" s="26"/>
      <x:c r="K6" s="26"/>
      <x:c r="L6" s="26"/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/>
      <x:c r="X6" s="26"/>
      <x:c r="Y6" s="26"/>
      <x:c r="Z6" s="26"/>
    </x:row>
    <x:row r="7">
      <x:c r="A7" s="66" t="n">
        <x:v>0.25</x:v>
      </x:c>
      <x:c r="B7" s="60" t="n">
        <x:f>IFERROR((Unit_Economics!$C$11*Unit_Economics!$C$14/B$3)/((Costs!$J$27+Costs!$K$27)/(Funnel!$F$27*$A7)),0)</x:f>
        <x:v>115.68808928571428</x:v>
      </x:c>
      <x:c r="C7" s="60" t="n">
        <x:f>IFERROR((Unit_Economics!$C$11*Unit_Economics!$C$14/C$3)/((Costs!$J$27+Costs!$K$27)/(Funnel!$F$27*$A7)),0)</x:f>
        <x:v>86.76606696428571</x:v>
      </x:c>
      <x:c r="D7" s="60" t="n">
        <x:f>IFERROR((Unit_Economics!$C$11*Unit_Economics!$C$14/D$3)/((Costs!$J$27+Costs!$K$27)/(Funnel!$F$27*$A7)),0)</x:f>
        <x:v>69.41285357142856</x:v>
      </x:c>
      <x:c r="E7" s="60" t="n">
        <x:f>IFERROR((Unit_Economics!$C$11*Unit_Economics!$C$14/E$3)/((Costs!$J$27+Costs!$K$27)/(Funnel!$F$27*$A7)),0)</x:f>
        <x:v>57.84404464285714</x:v>
      </x:c>
      <x:c r="F7" s="60" t="n">
        <x:f>IFERROR((Unit_Economics!$C$11*Unit_Economics!$C$14/F$3)/((Costs!$J$27+Costs!$K$27)/(Funnel!$F$27*$A7)),0)</x:f>
        <x:v>49.58060969387754</x:v>
      </x:c>
      <x:c r="G7" s="60" t="n">
        <x:f>IFERROR((Unit_Economics!$C$11*Unit_Economics!$C$14/G$3)/((Costs!$J$27+Costs!$K$27)/(Funnel!$F$27*$A7)),0)</x:f>
        <x:v>43.38303348214286</x:v>
      </x:c>
      <x:c r="H7" s="60" t="n">
        <x:f>IFERROR((Unit_Economics!$C$11*Unit_Economics!$C$14/H$3)/((Costs!$J$27+Costs!$K$27)/(Funnel!$F$27*$A7)),0)</x:f>
        <x:v>34.70642678571428</x:v>
      </x:c>
      <x:c r="I7" s="26"/>
      <x:c r="J7" s="26"/>
      <x:c r="K7" s="26"/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26"/>
      <x:c r="Z7" s="26"/>
    </x:row>
    <x:row r="8">
      <x:c r="A8" s="66" t="n">
        <x:v>0.3</x:v>
      </x:c>
      <x:c r="B8" s="60" t="n">
        <x:f>IFERROR((Unit_Economics!$C$11*Unit_Economics!$C$14/B$3)/((Costs!$J$27+Costs!$K$27)/(Funnel!$F$27*$A8)),0)</x:f>
        <x:v>138.82570714285714</x:v>
      </x:c>
      <x:c r="C8" s="60" t="n">
        <x:f>IFERROR((Unit_Economics!$C$11*Unit_Economics!$C$14/C$3)/((Costs!$J$27+Costs!$K$27)/(Funnel!$F$27*$A8)),0)</x:f>
        <x:v>104.11928035714286</x:v>
      </x:c>
      <x:c r="D8" s="60" t="n">
        <x:f>IFERROR((Unit_Economics!$C$11*Unit_Economics!$C$14/D$3)/((Costs!$J$27+Costs!$K$27)/(Funnel!$F$27*$A8)),0)</x:f>
        <x:v>83.29542428571428</x:v>
      </x:c>
      <x:c r="E8" s="60" t="n">
        <x:f>IFERROR((Unit_Economics!$C$11*Unit_Economics!$C$14/E$3)/((Costs!$J$27+Costs!$K$27)/(Funnel!$F$27*$A8)),0)</x:f>
        <x:v>69.41285357142857</x:v>
      </x:c>
      <x:c r="F8" s="60" t="n">
        <x:f>IFERROR((Unit_Economics!$C$11*Unit_Economics!$C$14/F$3)/((Costs!$J$27+Costs!$K$27)/(Funnel!$F$27*$A8)),0)</x:f>
        <x:v>59.49673163265305</x:v>
      </x:c>
      <x:c r="G8" s="60" t="n">
        <x:f>IFERROR((Unit_Economics!$C$11*Unit_Economics!$C$14/G$3)/((Costs!$J$27+Costs!$K$27)/(Funnel!$F$27*$A8)),0)</x:f>
        <x:v>52.05964017857143</x:v>
      </x:c>
      <x:c r="H8" s="60" t="n">
        <x:f>IFERROR((Unit_Economics!$C$11*Unit_Economics!$C$14/H$3)/((Costs!$J$27+Costs!$K$27)/(Funnel!$F$27*$A8)),0)</x:f>
        <x:v>41.64771214285714</x:v>
      </x:c>
      <x:c r="I8" s="26"/>
      <x:c r="J8" s="26"/>
      <x:c r="K8" s="26"/>
      <x:c r="L8" s="26"/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/>
      <x:c r="X8" s="26"/>
      <x:c r="Y8" s="26"/>
      <x:c r="Z8" s="26"/>
    </x:row>
    <x:row r="9">
      <x:c r="A9" s="66" t="n">
        <x:v>0.35</x:v>
      </x:c>
      <x:c r="B9" s="60" t="n">
        <x:f>IFERROR((Unit_Economics!$C$11*Unit_Economics!$C$14/B$3)/((Costs!$J$27+Costs!$K$27)/(Funnel!$F$27*$A9)),0)</x:f>
        <x:v>161.96332499999997</x:v>
      </x:c>
      <x:c r="C9" s="60" t="n">
        <x:f>IFERROR((Unit_Economics!$C$11*Unit_Economics!$C$14/C$3)/((Costs!$J$27+Costs!$K$27)/(Funnel!$F$27*$A9)),0)</x:f>
        <x:v>121.47249375</x:v>
      </x:c>
      <x:c r="D9" s="60" t="n">
        <x:f>IFERROR((Unit_Economics!$C$11*Unit_Economics!$C$14/D$3)/((Costs!$J$27+Costs!$K$27)/(Funnel!$F$27*$A9)),0)</x:f>
        <x:v>97.17799499999998</x:v>
      </x:c>
      <x:c r="E9" s="60" t="n">
        <x:f>IFERROR((Unit_Economics!$C$11*Unit_Economics!$C$14/E$3)/((Costs!$J$27+Costs!$K$27)/(Funnel!$F$27*$A9)),0)</x:f>
        <x:v>80.98166249999998</x:v>
      </x:c>
      <x:c r="F9" s="60" t="n">
        <x:f>IFERROR((Unit_Economics!$C$11*Unit_Economics!$C$14/F$3)/((Costs!$J$27+Costs!$K$27)/(Funnel!$F$27*$A9)),0)</x:f>
        <x:v>69.41285357142856</x:v>
      </x:c>
      <x:c r="G9" s="60" t="n">
        <x:f>IFERROR((Unit_Economics!$C$11*Unit_Economics!$C$14/G$3)/((Costs!$J$27+Costs!$K$27)/(Funnel!$F$27*$A9)),0)</x:f>
        <x:v>60.736246875</x:v>
      </x:c>
      <x:c r="H9" s="60" t="n">
        <x:f>IFERROR((Unit_Economics!$C$11*Unit_Economics!$C$14/H$3)/((Costs!$J$27+Costs!$K$27)/(Funnel!$F$27*$A9)),0)</x:f>
        <x:v>48.58899749999999</x:v>
      </x:c>
      <x:c r="I9" s="26"/>
      <x:c r="J9" s="26"/>
      <x:c r="K9" s="26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26"/>
      <x:c r="Z9" s="26"/>
    </x:row>
    <x:row r="10">
      <x:c r="A10" s="26"/>
      <x:c r="B10" s="26"/>
      <x:c r="C10" s="26"/>
      <x:c r="D10" s="26"/>
      <x:c r="E10" s="26"/>
      <x:c r="F10" s="26"/>
      <x:c r="G10" s="26"/>
      <x:c r="H10" s="26"/>
      <x:c r="I10" s="26"/>
      <x:c r="J10" s="26"/>
      <x:c r="K10" s="26"/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</x:row>
    <x:row r="11">
      <x:c r="A11" s="26"/>
      <x:c r="B11" s="26"/>
      <x:c r="C11" s="26"/>
      <x:c r="D11" s="26"/>
      <x:c r="E11" s="26"/>
      <x:c r="F11" s="26"/>
      <x:c r="G11" s="26"/>
      <x:c r="H11" s="26"/>
      <x:c r="I11" s="26"/>
      <x:c r="J11" s="26"/>
      <x:c r="K11" s="26"/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</x:row>
    <x:row r="12">
      <x:c r="A12" s="26"/>
      <x:c r="B12" s="26"/>
      <x:c r="C12" s="26"/>
      <x:c r="D12" s="26"/>
      <x:c r="E12" s="26"/>
      <x:c r="F12" s="26"/>
      <x:c r="G12" s="26"/>
      <x:c r="H12" s="26"/>
      <x:c r="I12" s="26"/>
      <x:c r="J12" s="26"/>
      <x:c r="K12" s="26"/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/>
      <x:c r="X12" s="26"/>
      <x:c r="Y12" s="26"/>
      <x:c r="Z12" s="26"/>
    </x:row>
    <x:row r="13">
      <x:c r="A13" s="26"/>
      <x:c r="B13" s="26"/>
      <x:c r="C13" s="26"/>
      <x:c r="D13" s="26"/>
      <x:c r="E13" s="26"/>
      <x:c r="F13" s="26"/>
      <x:c r="G13" s="26"/>
      <x:c r="H13" s="26"/>
      <x:c r="I13" s="26"/>
      <x:c r="J13" s="26"/>
      <x:c r="K13" s="26"/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</x:row>
    <x:row r="14">
      <x:c r="A14" s="26"/>
      <x:c r="B14" s="26"/>
      <x:c r="C14" s="26"/>
      <x:c r="D14" s="26"/>
      <x:c r="E14" s="26"/>
      <x:c r="F14" s="26"/>
      <x:c r="G14" s="26"/>
      <x:c r="H14" s="26"/>
      <x:c r="I14" s="26"/>
      <x:c r="J14" s="26"/>
      <x:c r="K14" s="26"/>
      <x:c r="L14" s="26"/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/>
      <x:c r="X14" s="26"/>
      <x:c r="Y14" s="26"/>
      <x:c r="Z14" s="26"/>
    </x:row>
    <x:row r="15">
      <x:c r="A15" s="26"/>
      <x:c r="B15" s="26"/>
      <x:c r="C15" s="26"/>
      <x:c r="D15" s="26"/>
      <x:c r="E15" s="26"/>
      <x:c r="F15" s="26"/>
      <x:c r="G15" s="26"/>
      <x:c r="H15" s="26"/>
      <x:c r="I15" s="26"/>
      <x:c r="J15" s="26"/>
      <x:c r="K15" s="26"/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</x:row>
    <x:row r="16">
      <x:c r="A16" s="26"/>
      <x:c r="B16" s="26"/>
      <x:c r="C16" s="26"/>
      <x:c r="D16" s="26"/>
      <x:c r="E16" s="26"/>
      <x:c r="F16" s="26"/>
      <x:c r="G16" s="26"/>
      <x:c r="H16" s="26"/>
      <x:c r="I16" s="26"/>
      <x:c r="J16" s="26"/>
      <x:c r="K16" s="26"/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</x:row>
    <x:row r="17">
      <x:c r="A17" s="26"/>
      <x:c r="B17" s="26"/>
      <x:c r="C17" s="26"/>
      <x:c r="D17" s="26"/>
      <x:c r="E17" s="26"/>
      <x:c r="F17" s="26"/>
      <x:c r="G17" s="26"/>
      <x:c r="H17" s="26"/>
      <x:c r="I17" s="26"/>
      <x:c r="J17" s="26"/>
      <x:c r="K17" s="26"/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</x:row>
    <x:row r="18">
      <x:c r="A18" s="26"/>
      <x:c r="B18" s="26"/>
      <x:c r="C18" s="26"/>
      <x:c r="D18" s="26"/>
      <x:c r="E18" s="26"/>
      <x:c r="F18" s="26"/>
      <x:c r="G18" s="26"/>
      <x:c r="H18" s="26"/>
      <x:c r="I18" s="26"/>
      <x:c r="J18" s="26"/>
      <x:c r="K18" s="26"/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</x:row>
    <x:row r="19">
      <x:c r="A19" s="26"/>
      <x:c r="B19" s="26"/>
      <x:c r="C19" s="26"/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>
      <x:c r="A20" s="26"/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>
      <x:c r="A21" s="26"/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>
      <x:c r="A22" s="26"/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>
      <x:c r="A23" s="26"/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>
      <x:c r="A24" s="26"/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>
      <x:c r="A25" s="26"/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>
      <x:c r="A26" s="26"/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>
      <x:c r="A27" s="26"/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>
      <x:c r="A28" s="26"/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>
      <x:c r="A29" s="26"/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>
      <x:c r="A30" s="26"/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>
      <x:c r="A31" s="26"/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>
      <x:c r="A32" s="26"/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>
      <x:c r="A33" s="26"/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</x:row>
    <x:row r="34">
      <x:c r="A34" s="26"/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</x:row>
    <x:row r="35">
      <x:c r="A35" s="26"/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</x:row>
    <x:row r="36">
      <x:c r="A36" s="26"/>
      <x:c r="B36" s="26"/>
      <x:c r="C36" s="26"/>
      <x:c r="D36" s="26"/>
      <x:c r="E36" s="26"/>
      <x:c r="F36" s="26"/>
      <x:c r="G36" s="26"/>
      <x:c r="H36" s="26"/>
      <x:c r="I36" s="26"/>
      <x:c r="J36" s="26"/>
      <x:c r="K36" s="26"/>
      <x:c r="L36" s="26"/>
      <x:c r="M36" s="26"/>
      <x:c r="N36" s="26"/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</x:row>
    <x:row r="37">
      <x:c r="A37" s="26"/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  <x:c r="L37" s="26"/>
      <x:c r="M37" s="26"/>
      <x:c r="N37" s="26"/>
      <x:c r="O37" s="26"/>
      <x:c r="P37" s="26"/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</x:row>
    <x:row r="38">
      <x:c r="A38" s="26"/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</x:row>
    <x:row r="39">
      <x:c r="A39" s="26"/>
      <x:c r="B39" s="26"/>
      <x:c r="C39" s="26"/>
      <x:c r="D39" s="26"/>
      <x:c r="E39" s="26"/>
      <x:c r="F39" s="26"/>
      <x:c r="G39" s="26"/>
      <x:c r="H39" s="26"/>
      <x:c r="I39" s="26"/>
      <x:c r="J39" s="26"/>
      <x:c r="K39" s="26"/>
      <x:c r="L39" s="26"/>
      <x:c r="M39" s="26"/>
      <x:c r="N39" s="26"/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</x:row>
    <x:row r="40">
      <x:c r="A40" s="26"/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  <x:c r="L40" s="26"/>
      <x:c r="M40" s="26"/>
      <x:c r="N40" s="26"/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</x:row>
    <x:row r="41">
      <x:c r="A41" s="26"/>
      <x:c r="B41" s="26"/>
      <x:c r="C41" s="26"/>
      <x:c r="D41" s="26"/>
      <x:c r="E41" s="26"/>
      <x:c r="F41" s="26"/>
      <x:c r="G41" s="26"/>
      <x:c r="H41" s="26"/>
      <x:c r="I41" s="26"/>
      <x:c r="J41" s="26"/>
      <x:c r="K41" s="26"/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</x:row>
    <x:row r="42">
      <x:c r="A42" s="26"/>
      <x:c r="B42" s="26"/>
      <x:c r="C42" s="26"/>
      <x:c r="D42" s="26"/>
      <x:c r="E42" s="26"/>
      <x:c r="F42" s="26"/>
      <x:c r="G42" s="26"/>
      <x:c r="H42" s="26"/>
      <x:c r="I42" s="26"/>
      <x:c r="J42" s="26"/>
      <x:c r="K42" s="26"/>
      <x:c r="L42" s="26"/>
      <x:c r="M42" s="26"/>
      <x:c r="N42" s="26"/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</x:row>
    <x:row r="43">
      <x:c r="A43" s="26"/>
      <x:c r="B43" s="26"/>
      <x:c r="C43" s="26"/>
      <x:c r="D43" s="26"/>
      <x:c r="E43" s="26"/>
      <x:c r="F43" s="26"/>
      <x:c r="G43" s="26"/>
      <x:c r="H43" s="26"/>
      <x:c r="I43" s="26"/>
      <x:c r="J43" s="26"/>
      <x:c r="K43" s="26"/>
      <x:c r="L43" s="26"/>
      <x:c r="M43" s="26"/>
      <x:c r="N43" s="26"/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</x:row>
    <x:row r="44">
      <x:c r="A44" s="26"/>
      <x:c r="B44" s="26"/>
      <x:c r="C44" s="26"/>
      <x:c r="D44" s="26"/>
      <x:c r="E44" s="26"/>
      <x:c r="F44" s="26"/>
      <x:c r="G44" s="26"/>
      <x:c r="H44" s="26"/>
      <x:c r="I44" s="26"/>
      <x:c r="J44" s="26"/>
      <x:c r="K44" s="26"/>
      <x:c r="L44" s="26"/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</x:row>
    <x:row r="45">
      <x:c r="A45" s="26"/>
      <x:c r="B45" s="26"/>
      <x:c r="C45" s="26"/>
      <x:c r="D45" s="26"/>
      <x:c r="E45" s="26"/>
      <x:c r="F45" s="26"/>
      <x:c r="G45" s="26"/>
      <x:c r="H45" s="26"/>
      <x:c r="I45" s="26"/>
      <x:c r="J45" s="26"/>
      <x:c r="K45" s="26"/>
      <x:c r="L45" s="26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</x:row>
    <x:row r="46">
      <x:c r="A46" s="26"/>
      <x:c r="B46" s="26"/>
      <x:c r="C46" s="26"/>
      <x:c r="D46" s="26"/>
      <x:c r="E46" s="26"/>
      <x:c r="F46" s="26"/>
      <x:c r="G46" s="26"/>
      <x:c r="H46" s="26"/>
      <x:c r="I46" s="26"/>
      <x:c r="J46" s="26"/>
      <x:c r="K46" s="26"/>
      <x:c r="L46" s="26"/>
      <x:c r="M46" s="26"/>
      <x:c r="N46" s="26"/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</x:row>
    <x:row r="47">
      <x:c r="A47" s="26"/>
      <x:c r="B47" s="26"/>
      <x:c r="C47" s="26"/>
      <x:c r="D47" s="26"/>
      <x:c r="E47" s="26"/>
      <x:c r="F47" s="26"/>
      <x:c r="G47" s="26"/>
      <x:c r="H47" s="26"/>
      <x:c r="I47" s="26"/>
      <x:c r="J47" s="26"/>
      <x:c r="K47" s="26"/>
      <x:c r="L47" s="26"/>
      <x:c r="M47" s="26"/>
      <x:c r="N47" s="26"/>
      <x:c r="O47" s="26"/>
      <x:c r="P47" s="26"/>
      <x:c r="Q47" s="26"/>
      <x:c r="R47" s="26"/>
      <x:c r="S47" s="26"/>
      <x:c r="T47" s="26"/>
      <x:c r="U47" s="26"/>
      <x:c r="V47" s="26"/>
      <x:c r="W47" s="26"/>
      <x:c r="X47" s="26"/>
      <x:c r="Y47" s="26"/>
      <x:c r="Z47" s="26"/>
    </x:row>
    <x:row r="48">
      <x:c r="A48" s="26"/>
      <x:c r="B48" s="26"/>
      <x:c r="C48" s="26"/>
      <x:c r="D48" s="26"/>
      <x:c r="E48" s="26"/>
      <x:c r="F48" s="26"/>
      <x:c r="G48" s="26"/>
      <x:c r="H48" s="26"/>
      <x:c r="I48" s="26"/>
      <x:c r="J48" s="26"/>
      <x:c r="K48" s="26"/>
      <x:c r="L48" s="26"/>
      <x:c r="M48" s="26"/>
      <x:c r="N48" s="26"/>
      <x:c r="O48" s="26"/>
      <x:c r="P48" s="26"/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</x:row>
    <x:row r="49">
      <x:c r="A49" s="26"/>
      <x:c r="B49" s="26"/>
      <x:c r="C49" s="26"/>
      <x:c r="D49" s="26"/>
      <x:c r="E49" s="26"/>
      <x:c r="F49" s="26"/>
      <x:c r="G49" s="26"/>
      <x:c r="H49" s="26"/>
      <x:c r="I49" s="26"/>
      <x:c r="J49" s="26"/>
      <x:c r="K49" s="26"/>
      <x:c r="L49" s="26"/>
      <x:c r="M49" s="26"/>
      <x:c r="N49" s="26"/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</x:row>
    <x:row r="50">
      <x:c r="A50" s="26"/>
      <x:c r="B50" s="26"/>
      <x:c r="C50" s="26"/>
      <x:c r="D50" s="26"/>
      <x:c r="E50" s="26"/>
      <x:c r="F50" s="26"/>
      <x:c r="G50" s="26"/>
      <x:c r="H50" s="26"/>
      <x:c r="I50" s="26"/>
      <x:c r="J50" s="26"/>
      <x:c r="K50" s="26"/>
      <x:c r="L50" s="26"/>
      <x:c r="M50" s="26"/>
      <x:c r="N50" s="26"/>
      <x:c r="O50" s="26"/>
      <x:c r="P50" s="26"/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</x:row>
    <x:row r="51">
      <x:c r="A51" s="26"/>
      <x:c r="B51" s="26"/>
      <x:c r="C51" s="26"/>
      <x:c r="D51" s="26"/>
      <x:c r="E51" s="26"/>
      <x:c r="F51" s="26"/>
      <x:c r="G51" s="26"/>
      <x:c r="H51" s="26"/>
      <x:c r="I51" s="26"/>
      <x:c r="J51" s="26"/>
      <x:c r="K51" s="26"/>
      <x:c r="L51" s="26"/>
      <x:c r="M51" s="26"/>
      <x:c r="N51" s="26"/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</x:row>
    <x:row r="52">
      <x:c r="A52" s="26"/>
      <x:c r="B52" s="26"/>
      <x:c r="C52" s="26"/>
      <x:c r="D52" s="26"/>
      <x:c r="E52" s="26"/>
      <x:c r="F52" s="26"/>
      <x:c r="G52" s="26"/>
      <x:c r="H52" s="26"/>
      <x:c r="I52" s="26"/>
      <x:c r="J52" s="26"/>
      <x:c r="K52" s="26"/>
      <x:c r="L52" s="26"/>
      <x:c r="M52" s="26"/>
      <x:c r="N52" s="26"/>
      <x:c r="O52" s="26"/>
      <x:c r="P52" s="26"/>
      <x:c r="Q52" s="26"/>
      <x:c r="R52" s="26"/>
      <x:c r="S52" s="26"/>
      <x:c r="T52" s="26"/>
      <x:c r="U52" s="26"/>
      <x:c r="V52" s="26"/>
      <x:c r="W52" s="26"/>
      <x:c r="X52" s="26"/>
      <x:c r="Y52" s="26"/>
      <x:c r="Z52" s="26"/>
    </x:row>
    <x:row r="53">
      <x:c r="A53" s="26"/>
      <x:c r="B53" s="26"/>
      <x:c r="C53" s="26"/>
      <x:c r="D53" s="26"/>
      <x:c r="E53" s="26"/>
      <x:c r="F53" s="26"/>
      <x:c r="G53" s="26"/>
      <x:c r="H53" s="26"/>
      <x:c r="I53" s="26"/>
      <x:c r="J53" s="26"/>
      <x:c r="K53" s="26"/>
      <x:c r="L53" s="26"/>
      <x:c r="M53" s="26"/>
      <x:c r="N53" s="26"/>
      <x:c r="O53" s="26"/>
      <x:c r="P53" s="26"/>
      <x:c r="Q53" s="26"/>
      <x:c r="R53" s="26"/>
      <x:c r="S53" s="26"/>
      <x:c r="T53" s="26"/>
      <x:c r="U53" s="26"/>
      <x:c r="V53" s="26"/>
      <x:c r="W53" s="26"/>
      <x:c r="X53" s="26"/>
      <x:c r="Y53" s="26"/>
      <x:c r="Z53" s="26"/>
    </x:row>
    <x:row r="54">
      <x:c r="A54" s="26"/>
      <x:c r="B54" s="26"/>
      <x:c r="C54" s="26"/>
      <x:c r="D54" s="26"/>
      <x:c r="E54" s="26"/>
      <x:c r="F54" s="26"/>
      <x:c r="G54" s="26"/>
      <x:c r="H54" s="26"/>
      <x:c r="I54" s="26"/>
      <x:c r="J54" s="26"/>
      <x:c r="K54" s="26"/>
      <x:c r="L54" s="26"/>
      <x:c r="M54" s="26"/>
      <x:c r="N54" s="26"/>
      <x:c r="O54" s="26"/>
      <x:c r="P54" s="26"/>
      <x:c r="Q54" s="26"/>
      <x:c r="R54" s="26"/>
      <x:c r="S54" s="26"/>
      <x:c r="T54" s="26"/>
      <x:c r="U54" s="26"/>
      <x:c r="V54" s="26"/>
      <x:c r="W54" s="26"/>
      <x:c r="X54" s="26"/>
      <x:c r="Y54" s="26"/>
      <x:c r="Z54" s="26"/>
    </x:row>
    <x:row r="55">
      <x:c r="A55" s="26"/>
      <x:c r="B55" s="26"/>
      <x:c r="C55" s="26"/>
      <x:c r="D55" s="26"/>
      <x:c r="E55" s="26"/>
      <x:c r="F55" s="26"/>
      <x:c r="G55" s="26"/>
      <x:c r="H55" s="26"/>
      <x:c r="I55" s="26"/>
      <x:c r="J55" s="26"/>
      <x:c r="K55" s="26"/>
      <x:c r="L55" s="26"/>
      <x:c r="M55" s="26"/>
      <x:c r="N55" s="26"/>
      <x:c r="O55" s="26"/>
      <x:c r="P55" s="26"/>
      <x:c r="Q55" s="26"/>
      <x:c r="R55" s="26"/>
      <x:c r="S55" s="26"/>
      <x:c r="T55" s="26"/>
      <x:c r="U55" s="26"/>
      <x:c r="V55" s="26"/>
      <x:c r="W55" s="26"/>
      <x:c r="X55" s="26"/>
      <x:c r="Y55" s="26"/>
      <x:c r="Z55" s="26"/>
    </x:row>
    <x:row r="56">
      <x:c r="A56" s="26"/>
      <x:c r="B56" s="26"/>
      <x:c r="C56" s="26"/>
      <x:c r="D56" s="26"/>
      <x:c r="E56" s="26"/>
      <x:c r="F56" s="26"/>
      <x:c r="G56" s="26"/>
      <x:c r="H56" s="26"/>
      <x:c r="I56" s="26"/>
      <x:c r="J56" s="26"/>
      <x:c r="K56" s="26"/>
      <x:c r="L56" s="26"/>
      <x:c r="M56" s="26"/>
      <x:c r="N56" s="26"/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</x:row>
    <x:row r="57">
      <x:c r="A57" s="26"/>
      <x:c r="B57" s="26"/>
      <x:c r="C57" s="26"/>
      <x:c r="D57" s="26"/>
      <x:c r="E57" s="26"/>
      <x:c r="F57" s="26"/>
      <x:c r="G57" s="26"/>
      <x:c r="H57" s="26"/>
      <x:c r="I57" s="26"/>
      <x:c r="J57" s="26"/>
      <x:c r="K57" s="26"/>
      <x:c r="L57" s="26"/>
      <x:c r="M57" s="26"/>
      <x:c r="N57" s="26"/>
      <x:c r="O57" s="26"/>
      <x:c r="P57" s="26"/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</x:row>
    <x:row r="58">
      <x:c r="A58" s="26"/>
      <x:c r="B58" s="26"/>
      <x:c r="C58" s="26"/>
      <x:c r="D58" s="26"/>
      <x:c r="E58" s="26"/>
      <x:c r="F58" s="26"/>
      <x:c r="G58" s="26"/>
      <x:c r="H58" s="26"/>
      <x:c r="I58" s="26"/>
      <x:c r="J58" s="26"/>
      <x:c r="K58" s="26"/>
      <x:c r="L58" s="26"/>
      <x:c r="M58" s="26"/>
      <x:c r="N58" s="26"/>
      <x:c r="O58" s="26"/>
      <x:c r="P58" s="26"/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</x:row>
    <x:row r="59">
      <x:c r="A59" s="26"/>
      <x:c r="B59" s="26"/>
      <x:c r="C59" s="26"/>
      <x:c r="D59" s="26"/>
      <x:c r="E59" s="26"/>
      <x:c r="F59" s="26"/>
      <x:c r="G59" s="26"/>
      <x:c r="H59" s="26"/>
      <x:c r="I59" s="26"/>
      <x:c r="J59" s="26"/>
      <x:c r="K59" s="26"/>
      <x:c r="L59" s="26"/>
      <x:c r="M59" s="26"/>
      <x:c r="N59" s="26"/>
      <x:c r="O59" s="26"/>
      <x:c r="P59" s="26"/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</x:row>
    <x:row r="60">
      <x:c r="A60" s="26"/>
      <x:c r="B60" s="26"/>
      <x:c r="C60" s="26"/>
      <x:c r="D60" s="26"/>
      <x:c r="E60" s="26"/>
      <x:c r="F60" s="26"/>
      <x:c r="G60" s="26"/>
      <x:c r="H60" s="26"/>
      <x:c r="I60" s="26"/>
      <x:c r="J60" s="26"/>
      <x:c r="K60" s="26"/>
      <x:c r="L60" s="26"/>
      <x:c r="M60" s="26"/>
      <x:c r="N60" s="26"/>
      <x:c r="O60" s="26"/>
      <x:c r="P60" s="26"/>
      <x:c r="Q60" s="26"/>
      <x:c r="R60" s="26"/>
      <x:c r="S60" s="26"/>
      <x:c r="T60" s="26"/>
      <x:c r="U60" s="26"/>
      <x:c r="V60" s="26"/>
      <x:c r="W60" s="26"/>
      <x:c r="X60" s="26"/>
      <x:c r="Y60" s="26"/>
      <x:c r="Z60" s="26"/>
    </x:row>
    <x:row r="61">
      <x:c r="A61" s="26"/>
      <x:c r="B61" s="26"/>
      <x:c r="C61" s="26"/>
      <x:c r="D61" s="26"/>
      <x:c r="E61" s="26"/>
      <x:c r="F61" s="26"/>
      <x:c r="G61" s="26"/>
      <x:c r="H61" s="26"/>
      <x:c r="I61" s="26"/>
      <x:c r="J61" s="26"/>
      <x:c r="K61" s="26"/>
      <x:c r="L61" s="26"/>
      <x:c r="M61" s="26"/>
      <x:c r="N61" s="26"/>
      <x:c r="O61" s="26"/>
      <x:c r="P61" s="26"/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</x:row>
    <x:row r="62">
      <x:c r="A62" s="26"/>
      <x:c r="B62" s="26"/>
      <x:c r="C62" s="26"/>
      <x:c r="D62" s="26"/>
      <x:c r="E62" s="26"/>
      <x:c r="F62" s="26"/>
      <x:c r="G62" s="26"/>
      <x:c r="H62" s="26"/>
      <x:c r="I62" s="26"/>
      <x:c r="J62" s="26"/>
      <x:c r="K62" s="26"/>
      <x:c r="L62" s="26"/>
      <x:c r="M62" s="26"/>
      <x:c r="N62" s="26"/>
      <x:c r="O62" s="26"/>
      <x:c r="P62" s="26"/>
      <x:c r="Q62" s="26"/>
      <x:c r="R62" s="26"/>
      <x:c r="S62" s="26"/>
      <x:c r="T62" s="26"/>
      <x:c r="U62" s="26"/>
      <x:c r="V62" s="26"/>
      <x:c r="W62" s="26"/>
      <x:c r="X62" s="26"/>
      <x:c r="Y62" s="26"/>
      <x:c r="Z62" s="26"/>
    </x:row>
    <x:row r="63">
      <x:c r="A63" s="26"/>
      <x:c r="B63" s="26"/>
      <x:c r="C63" s="26"/>
      <x:c r="D63" s="26"/>
      <x:c r="E63" s="26"/>
      <x:c r="F63" s="26"/>
      <x:c r="G63" s="26"/>
      <x:c r="H63" s="26"/>
      <x:c r="I63" s="26"/>
      <x:c r="J63" s="26"/>
      <x:c r="K63" s="26"/>
      <x:c r="L63" s="26"/>
      <x:c r="M63" s="26"/>
      <x:c r="N63" s="26"/>
      <x:c r="O63" s="26"/>
      <x:c r="P63" s="26"/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</x:row>
    <x:row r="64">
      <x:c r="A64" s="26"/>
      <x:c r="B64" s="26"/>
      <x:c r="C64" s="26"/>
      <x:c r="D64" s="26"/>
      <x:c r="E64" s="26"/>
      <x:c r="F64" s="26"/>
      <x:c r="G64" s="26"/>
      <x:c r="H64" s="26"/>
      <x:c r="I64" s="26"/>
      <x:c r="J64" s="26"/>
      <x:c r="K64" s="26"/>
      <x:c r="L64" s="26"/>
      <x:c r="M64" s="26"/>
      <x:c r="N64" s="26"/>
      <x:c r="O64" s="26"/>
      <x:c r="P64" s="26"/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</x:row>
    <x:row r="65">
      <x:c r="A65" s="26"/>
      <x:c r="B65" s="26"/>
      <x:c r="C65" s="26"/>
      <x:c r="D65" s="26"/>
      <x:c r="E65" s="26"/>
      <x:c r="F65" s="26"/>
      <x:c r="G65" s="26"/>
      <x:c r="H65" s="26"/>
      <x:c r="I65" s="26"/>
      <x:c r="J65" s="26"/>
      <x:c r="K65" s="26"/>
      <x:c r="L65" s="26"/>
      <x:c r="M65" s="26"/>
      <x:c r="N65" s="26"/>
      <x:c r="O65" s="26"/>
      <x:c r="P65" s="26"/>
      <x:c r="Q65" s="26"/>
      <x:c r="R65" s="26"/>
      <x:c r="S65" s="26"/>
      <x:c r="T65" s="26"/>
      <x:c r="U65" s="26"/>
      <x:c r="V65" s="26"/>
      <x:c r="W65" s="26"/>
      <x:c r="X65" s="26"/>
      <x:c r="Y65" s="26"/>
      <x:c r="Z65" s="26"/>
    </x:row>
    <x:row r="66">
      <x:c r="A66" s="26"/>
      <x:c r="B66" s="26"/>
      <x:c r="C66" s="26"/>
      <x:c r="D66" s="26"/>
      <x:c r="E66" s="26"/>
      <x:c r="F66" s="26"/>
      <x:c r="G66" s="26"/>
      <x:c r="H66" s="26"/>
      <x:c r="I66" s="26"/>
      <x:c r="J66" s="26"/>
      <x:c r="K66" s="26"/>
      <x:c r="L66" s="26"/>
      <x:c r="M66" s="26"/>
      <x:c r="N66" s="26"/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</x:row>
    <x:row r="67">
      <x:c r="A67" s="26"/>
      <x:c r="B67" s="26"/>
      <x:c r="C67" s="26"/>
      <x:c r="D67" s="26"/>
      <x:c r="E67" s="26"/>
      <x:c r="F67" s="26"/>
      <x:c r="G67" s="26"/>
      <x:c r="H67" s="26"/>
      <x:c r="I67" s="26"/>
      <x:c r="J67" s="26"/>
      <x:c r="K67" s="26"/>
      <x:c r="L67" s="26"/>
      <x:c r="M67" s="26"/>
      <x:c r="N67" s="26"/>
      <x:c r="O67" s="26"/>
      <x:c r="P67" s="26"/>
      <x:c r="Q67" s="26"/>
      <x:c r="R67" s="26"/>
      <x:c r="S67" s="26"/>
      <x:c r="T67" s="26"/>
      <x:c r="U67" s="26"/>
      <x:c r="V67" s="26"/>
      <x:c r="W67" s="26"/>
      <x:c r="X67" s="26"/>
      <x:c r="Y67" s="26"/>
      <x:c r="Z67" s="26"/>
    </x:row>
    <x:row r="68">
      <x:c r="A68" s="26"/>
      <x:c r="B68" s="26"/>
      <x:c r="C68" s="26"/>
      <x:c r="D68" s="26"/>
      <x:c r="E68" s="26"/>
      <x:c r="F68" s="26"/>
      <x:c r="G68" s="26"/>
      <x:c r="H68" s="26"/>
      <x:c r="I68" s="26"/>
      <x:c r="J68" s="26"/>
      <x:c r="K68" s="26"/>
      <x:c r="L68" s="26"/>
      <x:c r="M68" s="26"/>
      <x:c r="N68" s="26"/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6"/>
      <x:c r="Z68" s="26"/>
    </x:row>
    <x:row r="69">
      <x:c r="A69" s="26"/>
      <x:c r="B69" s="26"/>
      <x:c r="C69" s="26"/>
      <x:c r="D69" s="26"/>
      <x:c r="E69" s="26"/>
      <x:c r="F69" s="26"/>
      <x:c r="G69" s="26"/>
      <x:c r="H69" s="26"/>
      <x:c r="I69" s="26"/>
      <x:c r="J69" s="26"/>
      <x:c r="K69" s="26"/>
      <x:c r="L69" s="26"/>
      <x:c r="M69" s="26"/>
      <x:c r="N69" s="26"/>
      <x:c r="O69" s="26"/>
      <x:c r="P69" s="26"/>
      <x:c r="Q69" s="26"/>
      <x:c r="R69" s="26"/>
      <x:c r="S69" s="26"/>
      <x:c r="T69" s="26"/>
      <x:c r="U69" s="26"/>
      <x:c r="V69" s="26"/>
      <x:c r="W69" s="26"/>
      <x:c r="X69" s="26"/>
      <x:c r="Y69" s="26"/>
      <x:c r="Z69" s="26"/>
    </x:row>
    <x:row r="70">
      <x:c r="A70" s="26"/>
      <x:c r="B70" s="26"/>
      <x:c r="C70" s="26"/>
      <x:c r="D70" s="26"/>
      <x:c r="E70" s="26"/>
      <x:c r="F70" s="26"/>
      <x:c r="G70" s="26"/>
      <x:c r="H70" s="26"/>
      <x:c r="I70" s="26"/>
      <x:c r="J70" s="26"/>
      <x:c r="K70" s="26"/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</x:row>
    <x:row r="71">
      <x:c r="A71" s="26"/>
      <x:c r="B71" s="26"/>
      <x:c r="C71" s="26"/>
      <x:c r="D71" s="26"/>
      <x:c r="E71" s="26"/>
      <x:c r="F71" s="26"/>
      <x:c r="G71" s="26"/>
      <x:c r="H71" s="26"/>
      <x:c r="I71" s="26"/>
      <x:c r="J71" s="26"/>
      <x:c r="K71" s="26"/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6"/>
      <x:c r="Z71" s="26"/>
    </x:row>
    <x:row r="72">
      <x:c r="A72" s="26"/>
      <x:c r="B72" s="26"/>
      <x:c r="C72" s="26"/>
      <x:c r="D72" s="26"/>
      <x:c r="E72" s="26"/>
      <x:c r="F72" s="26"/>
      <x:c r="G72" s="26"/>
      <x:c r="H72" s="26"/>
      <x:c r="I72" s="26"/>
      <x:c r="J72" s="26"/>
      <x:c r="K72" s="26"/>
      <x:c r="L72" s="26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/>
      <x:c r="Y72" s="26"/>
      <x:c r="Z72" s="26"/>
    </x:row>
    <x:row r="73">
      <x:c r="A73" s="26"/>
      <x:c r="B73" s="26"/>
      <x:c r="C73" s="26"/>
      <x:c r="D73" s="26"/>
      <x:c r="E73" s="26"/>
      <x:c r="F73" s="26"/>
      <x:c r="G73" s="26"/>
      <x:c r="H73" s="26"/>
      <x:c r="I73" s="26"/>
      <x:c r="J73" s="26"/>
      <x:c r="K73" s="26"/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</x:row>
    <x:row r="74">
      <x:c r="A74" s="26"/>
      <x:c r="B74" s="26"/>
      <x:c r="C74" s="26"/>
      <x:c r="D74" s="26"/>
      <x:c r="E74" s="26"/>
      <x:c r="F74" s="26"/>
      <x:c r="G74" s="26"/>
      <x:c r="H74" s="26"/>
      <x:c r="I74" s="26"/>
      <x:c r="J74" s="26"/>
      <x:c r="K74" s="26"/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6"/>
      <x:c r="Z74" s="26"/>
    </x:row>
    <x:row r="75">
      <x:c r="A75" s="26"/>
      <x:c r="B75" s="26"/>
      <x:c r="C75" s="26"/>
      <x:c r="D75" s="26"/>
      <x:c r="E75" s="26"/>
      <x:c r="F75" s="26"/>
      <x:c r="G75" s="26"/>
      <x:c r="H75" s="26"/>
      <x:c r="I75" s="26"/>
      <x:c r="J75" s="26"/>
      <x:c r="K75" s="26"/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6"/>
      <x:c r="Z75" s="26"/>
    </x:row>
    <x:row r="76">
      <x:c r="A76" s="26"/>
      <x:c r="B76" s="26"/>
      <x:c r="C76" s="26"/>
      <x:c r="D76" s="26"/>
      <x:c r="E76" s="26"/>
      <x:c r="F76" s="26"/>
      <x:c r="G76" s="26"/>
      <x:c r="H76" s="26"/>
      <x:c r="I76" s="26"/>
      <x:c r="J76" s="26"/>
      <x:c r="K76" s="26"/>
      <x:c r="L76" s="26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6"/>
      <x:c r="Z76" s="26"/>
    </x:row>
    <x:row r="77">
      <x:c r="A77" s="26"/>
      <x:c r="B77" s="26"/>
      <x:c r="C77" s="26"/>
      <x:c r="D77" s="26"/>
      <x:c r="E77" s="26"/>
      <x:c r="F77" s="26"/>
      <x:c r="G77" s="26"/>
      <x:c r="H77" s="26"/>
      <x:c r="I77" s="26"/>
      <x:c r="J77" s="26"/>
      <x:c r="K77" s="26"/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</x:row>
    <x:row r="78">
      <x:c r="A78" s="26"/>
      <x:c r="B78" s="26"/>
      <x:c r="C78" s="26"/>
      <x:c r="D78" s="26"/>
      <x:c r="E78" s="26"/>
      <x:c r="F78" s="26"/>
      <x:c r="G78" s="26"/>
      <x:c r="H78" s="26"/>
      <x:c r="I78" s="26"/>
      <x:c r="J78" s="26"/>
      <x:c r="K78" s="26"/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6"/>
      <x:c r="Z78" s="26"/>
    </x:row>
    <x:row r="79">
      <x:c r="A79" s="26"/>
      <x:c r="B79" s="26"/>
      <x:c r="C79" s="26"/>
      <x:c r="D79" s="26"/>
      <x:c r="E79" s="26"/>
      <x:c r="F79" s="26"/>
      <x:c r="G79" s="26"/>
      <x:c r="H79" s="26"/>
      <x:c r="I79" s="26"/>
      <x:c r="J79" s="26"/>
      <x:c r="K79" s="26"/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/>
      <x:c r="Z79" s="26"/>
    </x:row>
    <x:row r="80">
      <x:c r="A80" s="26"/>
      <x:c r="B80" s="26"/>
      <x:c r="C80" s="26"/>
      <x:c r="D80" s="26"/>
      <x:c r="E80" s="26"/>
      <x:c r="F80" s="26"/>
      <x:c r="G80" s="26"/>
      <x:c r="H80" s="26"/>
      <x:c r="I80" s="26"/>
      <x:c r="J80" s="26"/>
      <x:c r="K80" s="26"/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</x:row>
    <x:row r="81">
      <x:c r="A81" s="26"/>
      <x:c r="B81" s="26"/>
      <x:c r="C81" s="26"/>
      <x:c r="D81" s="26"/>
      <x:c r="E81" s="26"/>
      <x:c r="F81" s="26"/>
      <x:c r="G81" s="26"/>
      <x:c r="H81" s="26"/>
      <x:c r="I81" s="26"/>
      <x:c r="J81" s="26"/>
      <x:c r="K81" s="26"/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  <x:c r="Z81" s="26"/>
    </x:row>
    <x:row r="82">
      <x:c r="A82" s="26"/>
      <x:c r="B82" s="26"/>
      <x:c r="C82" s="26"/>
      <x:c r="D82" s="26"/>
      <x:c r="E82" s="26"/>
      <x:c r="F82" s="26"/>
      <x:c r="G82" s="26"/>
      <x:c r="H82" s="26"/>
      <x:c r="I82" s="26"/>
      <x:c r="J82" s="26"/>
      <x:c r="K82" s="26"/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</x:row>
    <x:row r="83">
      <x:c r="A83" s="26"/>
      <x:c r="B83" s="26"/>
      <x:c r="C83" s="26"/>
      <x:c r="D83" s="26"/>
      <x:c r="E83" s="26"/>
      <x:c r="F83" s="26"/>
      <x:c r="G83" s="26"/>
      <x:c r="H83" s="26"/>
      <x:c r="I83" s="26"/>
      <x:c r="J83" s="26"/>
      <x:c r="K83" s="26"/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6"/>
    </x:row>
    <x:row r="84">
      <x:c r="A84" s="26"/>
      <x:c r="B84" s="26"/>
      <x:c r="C84" s="26"/>
      <x:c r="D84" s="26"/>
      <x:c r="E84" s="26"/>
      <x:c r="F84" s="26"/>
      <x:c r="G84" s="26"/>
      <x:c r="H84" s="26"/>
      <x:c r="I84" s="26"/>
      <x:c r="J84" s="26"/>
      <x:c r="K84" s="26"/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6"/>
    </x:row>
    <x:row r="85">
      <x:c r="A85" s="26"/>
      <x:c r="B85" s="26"/>
      <x:c r="C85" s="26"/>
      <x:c r="D85" s="26"/>
      <x:c r="E85" s="26"/>
      <x:c r="F85" s="26"/>
      <x:c r="G85" s="26"/>
      <x:c r="H85" s="26"/>
      <x:c r="I85" s="26"/>
      <x:c r="J85" s="26"/>
      <x:c r="K85" s="26"/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  <x:c r="Z85" s="26"/>
    </x:row>
    <x:row r="86">
      <x:c r="A86" s="26"/>
      <x:c r="B86" s="26"/>
      <x:c r="C86" s="26"/>
      <x:c r="D86" s="26"/>
      <x:c r="E86" s="26"/>
      <x:c r="F86" s="26"/>
      <x:c r="G86" s="26"/>
      <x:c r="H86" s="26"/>
      <x:c r="I86" s="26"/>
      <x:c r="J86" s="26"/>
      <x:c r="K86" s="26"/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6"/>
    </x:row>
    <x:row r="87">
      <x:c r="A87" s="26"/>
      <x:c r="B87" s="26"/>
      <x:c r="C87" s="26"/>
      <x:c r="D87" s="26"/>
      <x:c r="E87" s="26"/>
      <x:c r="F87" s="26"/>
      <x:c r="G87" s="26"/>
      <x:c r="H87" s="26"/>
      <x:c r="I87" s="26"/>
      <x:c r="J87" s="26"/>
      <x:c r="K87" s="26"/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6"/>
    </x:row>
    <x:row r="88">
      <x:c r="A88" s="26"/>
      <x:c r="B88" s="26"/>
      <x:c r="C88" s="26"/>
      <x:c r="D88" s="26"/>
      <x:c r="E88" s="26"/>
      <x:c r="F88" s="26"/>
      <x:c r="G88" s="26"/>
      <x:c r="H88" s="26"/>
      <x:c r="I88" s="26"/>
      <x:c r="J88" s="26"/>
      <x:c r="K88" s="26"/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6"/>
    </x:row>
    <x:row r="89">
      <x:c r="A89" s="26"/>
      <x:c r="B89" s="26"/>
      <x:c r="C89" s="26"/>
      <x:c r="D89" s="26"/>
      <x:c r="E89" s="26"/>
      <x:c r="F89" s="26"/>
      <x:c r="G89" s="26"/>
      <x:c r="H89" s="26"/>
      <x:c r="I89" s="26"/>
      <x:c r="J89" s="26"/>
      <x:c r="K89" s="26"/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6"/>
    </x:row>
    <x:row r="90">
      <x:c r="A90" s="26"/>
      <x:c r="B90" s="26"/>
      <x:c r="C90" s="26"/>
      <x:c r="D90" s="26"/>
      <x:c r="E90" s="26"/>
      <x:c r="F90" s="26"/>
      <x:c r="G90" s="26"/>
      <x:c r="H90" s="26"/>
      <x:c r="I90" s="26"/>
      <x:c r="J90" s="26"/>
      <x:c r="K90" s="26"/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6"/>
    </x:row>
    <x:row r="91">
      <x:c r="A91" s="26"/>
      <x:c r="B91" s="26"/>
      <x:c r="C91" s="26"/>
      <x:c r="D91" s="26"/>
      <x:c r="E91" s="26"/>
      <x:c r="F91" s="26"/>
      <x:c r="G91" s="26"/>
      <x:c r="H91" s="26"/>
      <x:c r="I91" s="26"/>
      <x:c r="J91" s="26"/>
      <x:c r="K91" s="26"/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6"/>
    </x:row>
    <x:row r="92">
      <x:c r="A92" s="26"/>
      <x:c r="B92" s="26"/>
      <x:c r="C92" s="26"/>
      <x:c r="D92" s="26"/>
      <x:c r="E92" s="26"/>
      <x:c r="F92" s="26"/>
      <x:c r="G92" s="26"/>
      <x:c r="H92" s="26"/>
      <x:c r="I92" s="26"/>
      <x:c r="J92" s="26"/>
      <x:c r="K92" s="26"/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6"/>
    </x:row>
    <x:row r="93">
      <x:c r="A93" s="26"/>
      <x:c r="B93" s="26"/>
      <x:c r="C93" s="26"/>
      <x:c r="D93" s="26"/>
      <x:c r="E93" s="26"/>
      <x:c r="F93" s="26"/>
      <x:c r="G93" s="26"/>
      <x:c r="H93" s="26"/>
      <x:c r="I93" s="26"/>
      <x:c r="J93" s="26"/>
      <x:c r="K93" s="26"/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6"/>
    </x:row>
    <x:row r="94">
      <x:c r="A94" s="26"/>
      <x:c r="B94" s="26"/>
      <x:c r="C94" s="26"/>
      <x:c r="D94" s="26"/>
      <x:c r="E94" s="26"/>
      <x:c r="F94" s="26"/>
      <x:c r="G94" s="26"/>
      <x:c r="H94" s="26"/>
      <x:c r="I94" s="26"/>
      <x:c r="J94" s="26"/>
      <x:c r="K94" s="26"/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6"/>
    </x:row>
    <x:row r="95">
      <x:c r="A95" s="26"/>
      <x:c r="B95" s="26"/>
      <x:c r="C95" s="26"/>
      <x:c r="D95" s="26"/>
      <x:c r="E95" s="26"/>
      <x:c r="F95" s="26"/>
      <x:c r="G95" s="26"/>
      <x:c r="H95" s="26"/>
      <x:c r="I95" s="26"/>
      <x:c r="J95" s="26"/>
      <x:c r="K95" s="26"/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</x:row>
    <x:row r="96">
      <x:c r="A96" s="26"/>
      <x:c r="B96" s="26"/>
      <x:c r="C96" s="26"/>
      <x:c r="D96" s="26"/>
      <x:c r="E96" s="26"/>
      <x:c r="F96" s="26"/>
      <x:c r="G96" s="26"/>
      <x:c r="H96" s="26"/>
      <x:c r="I96" s="26"/>
      <x:c r="J96" s="26"/>
      <x:c r="K96" s="26"/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</x:row>
    <x:row r="97">
      <x:c r="A97" s="26"/>
      <x:c r="B97" s="26"/>
      <x:c r="C97" s="26"/>
      <x:c r="D97" s="26"/>
      <x:c r="E97" s="26"/>
      <x:c r="F97" s="26"/>
      <x:c r="G97" s="26"/>
      <x:c r="H97" s="26"/>
      <x:c r="I97" s="26"/>
      <x:c r="J97" s="26"/>
      <x:c r="K97" s="26"/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</x:row>
    <x:row r="98">
      <x:c r="A98" s="26"/>
      <x:c r="B98" s="26"/>
      <x:c r="C98" s="26"/>
      <x:c r="D98" s="26"/>
      <x:c r="E98" s="26"/>
      <x:c r="F98" s="26"/>
      <x:c r="G98" s="26"/>
      <x:c r="H98" s="26"/>
      <x:c r="I98" s="26"/>
      <x:c r="J98" s="26"/>
      <x:c r="K98" s="26"/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</x:row>
    <x:row r="99">
      <x:c r="A99" s="26"/>
      <x:c r="B99" s="26"/>
      <x:c r="C99" s="26"/>
      <x:c r="D99" s="26"/>
      <x:c r="E99" s="26"/>
      <x:c r="F99" s="26"/>
      <x:c r="G99" s="26"/>
      <x:c r="H99" s="26"/>
      <x:c r="I99" s="26"/>
      <x:c r="J99" s="26"/>
      <x:c r="K99" s="26"/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</x:row>
    <x:row r="100">
      <x:c r="A100" s="26"/>
      <x:c r="B100" s="26"/>
      <x:c r="C100" s="26"/>
      <x:c r="D100" s="26"/>
      <x:c r="E100" s="26"/>
      <x:c r="F100" s="26"/>
      <x:c r="G100" s="26"/>
      <x:c r="H100" s="26"/>
      <x:c r="I100" s="26"/>
      <x:c r="J100" s="26"/>
      <x:c r="K100" s="26"/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</x:row>
    <x:row r="101">
      <x:c r="A101" s="26"/>
      <x:c r="B101" s="26"/>
      <x:c r="C101" s="26"/>
      <x:c r="D101" s="26"/>
      <x:c r="E101" s="26"/>
      <x:c r="F101" s="26"/>
      <x:c r="G101" s="26"/>
      <x:c r="H101" s="26"/>
      <x:c r="I101" s="26"/>
      <x:c r="J101" s="26"/>
      <x:c r="K101" s="26"/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</x:row>
    <x:row r="102">
      <x:c r="A102" s="26"/>
      <x:c r="B102" s="26"/>
      <x:c r="C102" s="26"/>
      <x:c r="D102" s="26"/>
      <x:c r="E102" s="26"/>
      <x:c r="F102" s="26"/>
      <x:c r="G102" s="26"/>
      <x:c r="H102" s="26"/>
      <x:c r="I102" s="26"/>
      <x:c r="J102" s="26"/>
      <x:c r="K102" s="26"/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  <x:c r="Z102" s="26"/>
    </x:row>
    <x:row r="103">
      <x:c r="A103" s="26"/>
      <x:c r="B103" s="26"/>
      <x:c r="C103" s="26"/>
      <x:c r="D103" s="26"/>
      <x:c r="E103" s="26"/>
      <x:c r="F103" s="26"/>
      <x:c r="G103" s="26"/>
      <x:c r="H103" s="26"/>
      <x:c r="I103" s="26"/>
      <x:c r="J103" s="26"/>
      <x:c r="K103" s="26"/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</x:row>
    <x:row r="104">
      <x:c r="A104" s="26"/>
      <x:c r="B104" s="26"/>
      <x:c r="C104" s="26"/>
      <x:c r="D104" s="26"/>
      <x:c r="E104" s="26"/>
      <x:c r="F104" s="26"/>
      <x:c r="G104" s="26"/>
      <x:c r="H104" s="26"/>
      <x:c r="I104" s="26"/>
      <x:c r="J104" s="26"/>
      <x:c r="K104" s="26"/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</x:row>
    <x:row r="105">
      <x:c r="A105" s="26"/>
      <x:c r="B105" s="26"/>
      <x:c r="C105" s="26"/>
      <x:c r="D105" s="26"/>
      <x:c r="E105" s="26"/>
      <x:c r="F105" s="26"/>
      <x:c r="G105" s="26"/>
      <x:c r="H105" s="26"/>
      <x:c r="I105" s="26"/>
      <x:c r="J105" s="26"/>
      <x:c r="K105" s="26"/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</x:row>
    <x:row r="106">
      <x:c r="A106" s="26"/>
      <x:c r="B106" s="26"/>
      <x:c r="C106" s="26"/>
      <x:c r="D106" s="26"/>
      <x:c r="E106" s="26"/>
      <x:c r="F106" s="26"/>
      <x:c r="G106" s="26"/>
      <x:c r="H106" s="26"/>
      <x:c r="I106" s="26"/>
      <x:c r="J106" s="26"/>
      <x:c r="K106" s="26"/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</x:row>
    <x:row r="107">
      <x:c r="A107" s="26"/>
      <x:c r="B107" s="26"/>
      <x:c r="C107" s="26"/>
      <x:c r="D107" s="26"/>
      <x:c r="E107" s="26"/>
      <x:c r="F107" s="26"/>
      <x:c r="G107" s="26"/>
      <x:c r="H107" s="26"/>
      <x:c r="I107" s="26"/>
      <x:c r="J107" s="26"/>
      <x:c r="K107" s="26"/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</x:row>
    <x:row r="108">
      <x:c r="A108" s="26"/>
      <x:c r="B108" s="26"/>
      <x:c r="C108" s="26"/>
      <x:c r="D108" s="26"/>
      <x:c r="E108" s="26"/>
      <x:c r="F108" s="26"/>
      <x:c r="G108" s="26"/>
      <x:c r="H108" s="26"/>
      <x:c r="I108" s="26"/>
      <x:c r="J108" s="26"/>
      <x:c r="K108" s="26"/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</x:row>
    <x:row r="109">
      <x:c r="A109" s="26"/>
      <x:c r="B109" s="26"/>
      <x:c r="C109" s="26"/>
      <x:c r="D109" s="26"/>
      <x:c r="E109" s="26"/>
      <x:c r="F109" s="26"/>
      <x:c r="G109" s="26"/>
      <x:c r="H109" s="26"/>
      <x:c r="I109" s="26"/>
      <x:c r="J109" s="26"/>
      <x:c r="K109" s="26"/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</x:row>
    <x:row r="110">
      <x:c r="A110" s="26"/>
      <x:c r="B110" s="26"/>
      <x:c r="C110" s="26"/>
      <x:c r="D110" s="26"/>
      <x:c r="E110" s="26"/>
      <x:c r="F110" s="26"/>
      <x:c r="G110" s="26"/>
      <x:c r="H110" s="26"/>
      <x:c r="I110" s="26"/>
      <x:c r="J110" s="26"/>
      <x:c r="K110" s="26"/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</x:row>
    <x:row r="111">
      <x:c r="A111" s="26"/>
      <x:c r="B111" s="26"/>
      <x:c r="C111" s="26"/>
      <x:c r="D111" s="26"/>
      <x:c r="E111" s="26"/>
      <x:c r="F111" s="26"/>
      <x:c r="G111" s="26"/>
      <x:c r="H111" s="26"/>
      <x:c r="I111" s="26"/>
      <x:c r="J111" s="26"/>
      <x:c r="K111" s="26"/>
      <x:c r="L111" s="26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/>
      <x:c r="Y111" s="26"/>
      <x:c r="Z111" s="26"/>
    </x:row>
    <x:row r="112">
      <x:c r="A112" s="26"/>
      <x:c r="B112" s="26"/>
      <x:c r="C112" s="26"/>
      <x:c r="D112" s="26"/>
      <x:c r="E112" s="26"/>
      <x:c r="F112" s="26"/>
      <x:c r="G112" s="26"/>
      <x:c r="H112" s="26"/>
      <x:c r="I112" s="26"/>
      <x:c r="J112" s="26"/>
      <x:c r="K112" s="26"/>
      <x:c r="L112" s="26"/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/>
      <x:c r="Z112" s="26"/>
    </x:row>
    <x:row r="113">
      <x:c r="A113" s="26"/>
      <x:c r="B113" s="26"/>
      <x:c r="C113" s="26"/>
      <x:c r="D113" s="26"/>
      <x:c r="E113" s="26"/>
      <x:c r="F113" s="26"/>
      <x:c r="G113" s="26"/>
      <x:c r="H113" s="26"/>
      <x:c r="I113" s="26"/>
      <x:c r="J113" s="26"/>
      <x:c r="K113" s="26"/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6"/>
    </x:row>
    <x:row r="114">
      <x:c r="A114" s="26"/>
      <x:c r="B114" s="26"/>
      <x:c r="C114" s="26"/>
      <x:c r="D114" s="26"/>
      <x:c r="E114" s="26"/>
      <x:c r="F114" s="26"/>
      <x:c r="G114" s="26"/>
      <x:c r="H114" s="26"/>
      <x:c r="I114" s="26"/>
      <x:c r="J114" s="26"/>
      <x:c r="K114" s="26"/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</x:row>
    <x:row r="115">
      <x:c r="A115" s="26"/>
      <x:c r="B115" s="26"/>
      <x:c r="C115" s="26"/>
      <x:c r="D115" s="26"/>
      <x:c r="E115" s="26"/>
      <x:c r="F115" s="26"/>
      <x:c r="G115" s="26"/>
      <x:c r="H115" s="26"/>
      <x:c r="I115" s="26"/>
      <x:c r="J115" s="26"/>
      <x:c r="K115" s="26"/>
      <x:c r="L115" s="26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6"/>
    </x:row>
    <x:row r="116">
      <x:c r="A116" s="26"/>
      <x:c r="B116" s="26"/>
      <x:c r="C116" s="26"/>
      <x:c r="D116" s="26"/>
      <x:c r="E116" s="26"/>
      <x:c r="F116" s="26"/>
      <x:c r="G116" s="26"/>
      <x:c r="H116" s="26"/>
      <x:c r="I116" s="26"/>
      <x:c r="J116" s="26"/>
      <x:c r="K116" s="26"/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</x:row>
    <x:row r="117">
      <x:c r="A117" s="26"/>
      <x:c r="B117" s="26"/>
      <x:c r="C117" s="26"/>
      <x:c r="D117" s="26"/>
      <x:c r="E117" s="26"/>
      <x:c r="F117" s="26"/>
      <x:c r="G117" s="26"/>
      <x:c r="H117" s="26"/>
      <x:c r="I117" s="26"/>
      <x:c r="J117" s="26"/>
      <x:c r="K117" s="26"/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</x:row>
    <x:row r="118">
      <x:c r="A118" s="26"/>
      <x:c r="B118" s="26"/>
      <x:c r="C118" s="26"/>
      <x:c r="D118" s="26"/>
      <x:c r="E118" s="26"/>
      <x:c r="F118" s="26"/>
      <x:c r="G118" s="26"/>
      <x:c r="H118" s="26"/>
      <x:c r="I118" s="26"/>
      <x:c r="J118" s="26"/>
      <x:c r="K118" s="26"/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</x:row>
    <x:row r="119">
      <x:c r="A119" s="26"/>
      <x:c r="B119" s="26"/>
      <x:c r="C119" s="26"/>
      <x:c r="D119" s="26"/>
      <x:c r="E119" s="26"/>
      <x:c r="F119" s="26"/>
      <x:c r="G119" s="26"/>
      <x:c r="H119" s="26"/>
      <x:c r="I119" s="26"/>
      <x:c r="J119" s="26"/>
      <x:c r="K119" s="26"/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</x:row>
    <x:row r="120">
      <x:c r="A120" s="26"/>
      <x:c r="B120" s="26"/>
      <x:c r="C120" s="26"/>
      <x:c r="D120" s="26"/>
      <x:c r="E120" s="26"/>
      <x:c r="F120" s="26"/>
      <x:c r="G120" s="26"/>
      <x:c r="H120" s="26"/>
      <x:c r="I120" s="26"/>
      <x:c r="J120" s="26"/>
      <x:c r="K120" s="26"/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</x:row>
    <x:row r="121">
      <x:c r="A121" s="26"/>
      <x:c r="B121" s="26"/>
      <x:c r="C121" s="26"/>
      <x:c r="D121" s="26"/>
      <x:c r="E121" s="26"/>
      <x:c r="F121" s="26"/>
      <x:c r="G121" s="26"/>
      <x:c r="H121" s="26"/>
      <x:c r="I121" s="26"/>
      <x:c r="J121" s="26"/>
      <x:c r="K121" s="26"/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6"/>
    </x:row>
    <x:row r="122">
      <x:c r="A122" s="26"/>
      <x:c r="B122" s="26"/>
      <x:c r="C122" s="26"/>
      <x:c r="D122" s="26"/>
      <x:c r="E122" s="26"/>
      <x:c r="F122" s="26"/>
      <x:c r="G122" s="26"/>
      <x:c r="H122" s="26"/>
      <x:c r="I122" s="26"/>
      <x:c r="J122" s="26"/>
      <x:c r="K122" s="26"/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6"/>
    </x:row>
    <x:row r="123">
      <x:c r="A123" s="26"/>
      <x:c r="B123" s="26"/>
      <x:c r="C123" s="26"/>
      <x:c r="D123" s="26"/>
      <x:c r="E123" s="26"/>
      <x:c r="F123" s="26"/>
      <x:c r="G123" s="26"/>
      <x:c r="H123" s="26"/>
      <x:c r="I123" s="26"/>
      <x:c r="J123" s="26"/>
      <x:c r="K123" s="26"/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6"/>
    </x:row>
    <x:row r="124">
      <x:c r="A124" s="26"/>
      <x:c r="B124" s="26"/>
      <x:c r="C124" s="26"/>
      <x:c r="D124" s="26"/>
      <x:c r="E124" s="26"/>
      <x:c r="F124" s="26"/>
      <x:c r="G124" s="26"/>
      <x:c r="H124" s="26"/>
      <x:c r="I124" s="26"/>
      <x:c r="J124" s="26"/>
      <x:c r="K124" s="26"/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</x:row>
    <x:row r="125">
      <x:c r="A125" s="26"/>
      <x:c r="B125" s="26"/>
      <x:c r="C125" s="26"/>
      <x:c r="D125" s="26"/>
      <x:c r="E125" s="26"/>
      <x:c r="F125" s="26"/>
      <x:c r="G125" s="26"/>
      <x:c r="H125" s="26"/>
      <x:c r="I125" s="26"/>
      <x:c r="J125" s="26"/>
      <x:c r="K125" s="26"/>
      <x:c r="L125" s="26"/>
      <x:c r="M125" s="26"/>
      <x:c r="N125" s="26"/>
      <x:c r="O125" s="26"/>
      <x:c r="P125" s="26"/>
      <x:c r="Q125" s="26"/>
      <x:c r="R125" s="26"/>
      <x:c r="S125" s="26"/>
      <x:c r="T125" s="26"/>
      <x:c r="U125" s="26"/>
      <x:c r="V125" s="26"/>
      <x:c r="W125" s="26"/>
      <x:c r="X125" s="26"/>
      <x:c r="Y125" s="26"/>
      <x:c r="Z125" s="26"/>
    </x:row>
    <x:row r="126">
      <x:c r="A126" s="26"/>
      <x:c r="B126" s="26"/>
      <x:c r="C126" s="26"/>
      <x:c r="D126" s="26"/>
      <x:c r="E126" s="26"/>
      <x:c r="F126" s="26"/>
      <x:c r="G126" s="26"/>
      <x:c r="H126" s="26"/>
      <x:c r="I126" s="26"/>
      <x:c r="J126" s="26"/>
      <x:c r="K126" s="26"/>
      <x:c r="L126" s="26"/>
      <x:c r="M126" s="26"/>
      <x:c r="N126" s="26"/>
      <x:c r="O126" s="26"/>
      <x:c r="P126" s="26"/>
      <x:c r="Q126" s="26"/>
      <x:c r="R126" s="26"/>
      <x:c r="S126" s="26"/>
      <x:c r="T126" s="26"/>
      <x:c r="U126" s="26"/>
      <x:c r="V126" s="26"/>
      <x:c r="W126" s="26"/>
      <x:c r="X126" s="26"/>
      <x:c r="Y126" s="26"/>
      <x:c r="Z126" s="26"/>
    </x:row>
    <x:row r="127">
      <x:c r="A127" s="26"/>
      <x:c r="B127" s="26"/>
      <x:c r="C127" s="26"/>
      <x:c r="D127" s="26"/>
      <x:c r="E127" s="26"/>
      <x:c r="F127" s="26"/>
      <x:c r="G127" s="26"/>
      <x:c r="H127" s="26"/>
      <x:c r="I127" s="26"/>
      <x:c r="J127" s="26"/>
      <x:c r="K127" s="26"/>
      <x:c r="L127" s="26"/>
      <x:c r="M127" s="26"/>
      <x:c r="N127" s="26"/>
      <x:c r="O127" s="26"/>
      <x:c r="P127" s="26"/>
      <x:c r="Q127" s="26"/>
      <x:c r="R127" s="26"/>
      <x:c r="S127" s="26"/>
      <x:c r="T127" s="26"/>
      <x:c r="U127" s="26"/>
      <x:c r="V127" s="26"/>
      <x:c r="W127" s="26"/>
      <x:c r="X127" s="26"/>
      <x:c r="Y127" s="26"/>
      <x:c r="Z127" s="26"/>
    </x:row>
    <x:row r="128">
      <x:c r="A128" s="26"/>
      <x:c r="B128" s="26"/>
      <x:c r="C128" s="26"/>
      <x:c r="D128" s="26"/>
      <x:c r="E128" s="26"/>
      <x:c r="F128" s="26"/>
      <x:c r="G128" s="26"/>
      <x:c r="H128" s="26"/>
      <x:c r="I128" s="26"/>
      <x:c r="J128" s="26"/>
      <x:c r="K128" s="26"/>
      <x:c r="L128" s="26"/>
      <x:c r="M128" s="26"/>
      <x:c r="N128" s="26"/>
      <x:c r="O128" s="26"/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6"/>
    </x:row>
    <x:row r="129">
      <x:c r="A129" s="26"/>
      <x:c r="B129" s="26"/>
      <x:c r="C129" s="26"/>
      <x:c r="D129" s="26"/>
      <x:c r="E129" s="26"/>
      <x:c r="F129" s="26"/>
      <x:c r="G129" s="26"/>
      <x:c r="H129" s="26"/>
      <x:c r="I129" s="26"/>
      <x:c r="J129" s="26"/>
      <x:c r="K129" s="26"/>
      <x:c r="L129" s="26"/>
      <x:c r="M129" s="26"/>
      <x:c r="N129" s="26"/>
      <x:c r="O129" s="26"/>
      <x:c r="P129" s="26"/>
      <x:c r="Q129" s="26"/>
      <x:c r="R129" s="26"/>
      <x:c r="S129" s="26"/>
      <x:c r="T129" s="26"/>
      <x:c r="U129" s="26"/>
      <x:c r="V129" s="26"/>
      <x:c r="W129" s="26"/>
      <x:c r="X129" s="26"/>
      <x:c r="Y129" s="26"/>
      <x:c r="Z129" s="26"/>
    </x:row>
    <x:row r="130">
      <x:c r="A130" s="26"/>
      <x:c r="B130" s="26"/>
      <x:c r="C130" s="26"/>
      <x:c r="D130" s="26"/>
      <x:c r="E130" s="26"/>
      <x:c r="F130" s="26"/>
      <x:c r="G130" s="26"/>
      <x:c r="H130" s="26"/>
      <x:c r="I130" s="26"/>
      <x:c r="J130" s="26"/>
      <x:c r="K130" s="26"/>
      <x:c r="L130" s="26"/>
      <x:c r="M130" s="26"/>
      <x:c r="N130" s="26"/>
      <x:c r="O130" s="26"/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/>
      <x:c r="Z130" s="26"/>
    </x:row>
    <x:row r="131">
      <x:c r="A131" s="26"/>
      <x:c r="B131" s="26"/>
      <x:c r="C131" s="26"/>
      <x:c r="D131" s="26"/>
      <x:c r="E131" s="26"/>
      <x:c r="F131" s="26"/>
      <x:c r="G131" s="26"/>
      <x:c r="H131" s="26"/>
      <x:c r="I131" s="26"/>
      <x:c r="J131" s="26"/>
      <x:c r="K131" s="26"/>
      <x:c r="L131" s="26"/>
      <x:c r="M131" s="26"/>
      <x:c r="N131" s="26"/>
      <x:c r="O131" s="26"/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6"/>
    </x:row>
    <x:row r="132">
      <x:c r="A132" s="26"/>
      <x:c r="B132" s="26"/>
      <x:c r="C132" s="26"/>
      <x:c r="D132" s="26"/>
      <x:c r="E132" s="26"/>
      <x:c r="F132" s="26"/>
      <x:c r="G132" s="26"/>
      <x:c r="H132" s="26"/>
      <x:c r="I132" s="26"/>
      <x:c r="J132" s="26"/>
      <x:c r="K132" s="26"/>
      <x:c r="L132" s="26"/>
      <x:c r="M132" s="26"/>
      <x:c r="N132" s="26"/>
      <x:c r="O132" s="26"/>
      <x:c r="P132" s="26"/>
      <x:c r="Q132" s="26"/>
      <x:c r="R132" s="26"/>
      <x:c r="S132" s="26"/>
      <x:c r="T132" s="26"/>
      <x:c r="U132" s="26"/>
      <x:c r="V132" s="26"/>
      <x:c r="W132" s="26"/>
      <x:c r="X132" s="26"/>
      <x:c r="Y132" s="26"/>
      <x:c r="Z132" s="26"/>
    </x:row>
    <x:row r="133">
      <x:c r="A133" s="26"/>
      <x:c r="B133" s="26"/>
      <x:c r="C133" s="26"/>
      <x:c r="D133" s="26"/>
      <x:c r="E133" s="26"/>
      <x:c r="F133" s="26"/>
      <x:c r="G133" s="26"/>
      <x:c r="H133" s="26"/>
      <x:c r="I133" s="26"/>
      <x:c r="J133" s="26"/>
      <x:c r="K133" s="26"/>
      <x:c r="L133" s="26"/>
      <x:c r="M133" s="26"/>
      <x:c r="N133" s="26"/>
      <x:c r="O133" s="26"/>
      <x:c r="P133" s="26"/>
      <x:c r="Q133" s="26"/>
      <x:c r="R133" s="26"/>
      <x:c r="S133" s="26"/>
      <x:c r="T133" s="26"/>
      <x:c r="U133" s="26"/>
      <x:c r="V133" s="26"/>
      <x:c r="W133" s="26"/>
      <x:c r="X133" s="26"/>
      <x:c r="Y133" s="26"/>
      <x:c r="Z133" s="26"/>
    </x:row>
    <x:row r="134">
      <x:c r="A134" s="26"/>
      <x:c r="B134" s="26"/>
      <x:c r="C134" s="26"/>
      <x:c r="D134" s="26"/>
      <x:c r="E134" s="26"/>
      <x:c r="F134" s="26"/>
      <x:c r="G134" s="26"/>
      <x:c r="H134" s="26"/>
      <x:c r="I134" s="26"/>
      <x:c r="J134" s="26"/>
      <x:c r="K134" s="26"/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6"/>
    </x:row>
    <x:row r="135">
      <x:c r="A135" s="26"/>
      <x:c r="B135" s="26"/>
      <x:c r="C135" s="26"/>
      <x:c r="D135" s="26"/>
      <x:c r="E135" s="26"/>
      <x:c r="F135" s="26"/>
      <x:c r="G135" s="26"/>
      <x:c r="H135" s="26"/>
      <x:c r="I135" s="26"/>
      <x:c r="J135" s="26"/>
      <x:c r="K135" s="26"/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</x:row>
    <x:row r="136">
      <x:c r="A136" s="26"/>
      <x:c r="B136" s="26"/>
      <x:c r="C136" s="26"/>
      <x:c r="D136" s="26"/>
      <x:c r="E136" s="26"/>
      <x:c r="F136" s="26"/>
      <x:c r="G136" s="26"/>
      <x:c r="H136" s="26"/>
      <x:c r="I136" s="26"/>
      <x:c r="J136" s="26"/>
      <x:c r="K136" s="26"/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</x:row>
    <x:row r="137">
      <x:c r="A137" s="26"/>
      <x:c r="B137" s="26"/>
      <x:c r="C137" s="26"/>
      <x:c r="D137" s="26"/>
      <x:c r="E137" s="26"/>
      <x:c r="F137" s="26"/>
      <x:c r="G137" s="26"/>
      <x:c r="H137" s="26"/>
      <x:c r="I137" s="26"/>
      <x:c r="J137" s="26"/>
      <x:c r="K137" s="26"/>
      <x:c r="L137" s="26"/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</x:row>
    <x:row r="138">
      <x:c r="A138" s="26"/>
      <x:c r="B138" s="26"/>
      <x:c r="C138" s="26"/>
      <x:c r="D138" s="26"/>
      <x:c r="E138" s="26"/>
      <x:c r="F138" s="26"/>
      <x:c r="G138" s="26"/>
      <x:c r="H138" s="26"/>
      <x:c r="I138" s="26"/>
      <x:c r="J138" s="26"/>
      <x:c r="K138" s="26"/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</x:row>
    <x:row r="139">
      <x:c r="A139" s="26"/>
      <x:c r="B139" s="26"/>
      <x:c r="C139" s="26"/>
      <x:c r="D139" s="26"/>
      <x:c r="E139" s="26"/>
      <x:c r="F139" s="26"/>
      <x:c r="G139" s="26"/>
      <x:c r="H139" s="26"/>
      <x:c r="I139" s="26"/>
      <x:c r="J139" s="26"/>
      <x:c r="K139" s="26"/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</x:row>
    <x:row r="140">
      <x:c r="A140" s="26"/>
      <x:c r="B140" s="26"/>
      <x:c r="C140" s="26"/>
      <x:c r="D140" s="26"/>
      <x:c r="E140" s="26"/>
      <x:c r="F140" s="26"/>
      <x:c r="G140" s="26"/>
      <x:c r="H140" s="26"/>
      <x:c r="I140" s="26"/>
      <x:c r="J140" s="26"/>
      <x:c r="K140" s="26"/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</x:row>
    <x:row r="141">
      <x:c r="A141" s="26"/>
      <x:c r="B141" s="26"/>
      <x:c r="C141" s="26"/>
      <x:c r="D141" s="26"/>
      <x:c r="E141" s="26"/>
      <x:c r="F141" s="26"/>
      <x:c r="G141" s="26"/>
      <x:c r="H141" s="26"/>
      <x:c r="I141" s="26"/>
      <x:c r="J141" s="26"/>
      <x:c r="K141" s="26"/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</x:row>
    <x:row r="142">
      <x:c r="A142" s="26"/>
      <x:c r="B142" s="26"/>
      <x:c r="C142" s="26"/>
      <x:c r="D142" s="26"/>
      <x:c r="E142" s="26"/>
      <x:c r="F142" s="26"/>
      <x:c r="G142" s="26"/>
      <x:c r="H142" s="26"/>
      <x:c r="I142" s="26"/>
      <x:c r="J142" s="26"/>
      <x:c r="K142" s="26"/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/>
      <x:c r="Z142" s="26"/>
    </x:row>
    <x:row r="143">
      <x:c r="A143" s="26"/>
      <x:c r="B143" s="26"/>
      <x:c r="C143" s="26"/>
      <x:c r="D143" s="26"/>
      <x:c r="E143" s="26"/>
      <x:c r="F143" s="26"/>
      <x:c r="G143" s="26"/>
      <x:c r="H143" s="26"/>
      <x:c r="I143" s="26"/>
      <x:c r="J143" s="26"/>
      <x:c r="K143" s="26"/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</x:row>
    <x:row r="144">
      <x:c r="A144" s="26"/>
      <x:c r="B144" s="26"/>
      <x:c r="C144" s="26"/>
      <x:c r="D144" s="26"/>
      <x:c r="E144" s="26"/>
      <x:c r="F144" s="26"/>
      <x:c r="G144" s="26"/>
      <x:c r="H144" s="26"/>
      <x:c r="I144" s="26"/>
      <x:c r="J144" s="26"/>
      <x:c r="K144" s="26"/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</x:row>
    <x:row r="145">
      <x:c r="A145" s="26"/>
      <x:c r="B145" s="26"/>
      <x:c r="C145" s="26"/>
      <x:c r="D145" s="26"/>
      <x:c r="E145" s="26"/>
      <x:c r="F145" s="26"/>
      <x:c r="G145" s="26"/>
      <x:c r="H145" s="26"/>
      <x:c r="I145" s="26"/>
      <x:c r="J145" s="26"/>
      <x:c r="K145" s="26"/>
      <x:c r="L145" s="26"/>
      <x:c r="M145" s="26"/>
      <x:c r="N145" s="26"/>
      <x:c r="O145" s="26"/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6"/>
    </x:row>
    <x:row r="146">
      <x:c r="A146" s="26"/>
      <x:c r="B146" s="26"/>
      <x:c r="C146" s="26"/>
      <x:c r="D146" s="26"/>
      <x:c r="E146" s="26"/>
      <x:c r="F146" s="26"/>
      <x:c r="G146" s="26"/>
      <x:c r="H146" s="26"/>
      <x:c r="I146" s="26"/>
      <x:c r="J146" s="26"/>
      <x:c r="K146" s="26"/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6"/>
    </x:row>
    <x:row r="147">
      <x:c r="A147" s="26"/>
      <x:c r="B147" s="26"/>
      <x:c r="C147" s="26"/>
      <x:c r="D147" s="26"/>
      <x:c r="E147" s="26"/>
      <x:c r="F147" s="26"/>
      <x:c r="G147" s="26"/>
      <x:c r="H147" s="26"/>
      <x:c r="I147" s="26"/>
      <x:c r="J147" s="26"/>
      <x:c r="K147" s="26"/>
      <x:c r="L147" s="26"/>
      <x:c r="M147" s="26"/>
      <x:c r="N147" s="26"/>
      <x:c r="O147" s="26"/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6"/>
    </x:row>
    <x:row r="148">
      <x:c r="A148" s="26"/>
      <x:c r="B148" s="26"/>
      <x:c r="C148" s="26"/>
      <x:c r="D148" s="26"/>
      <x:c r="E148" s="26"/>
      <x:c r="F148" s="26"/>
      <x:c r="G148" s="26"/>
      <x:c r="H148" s="26"/>
      <x:c r="I148" s="26"/>
      <x:c r="J148" s="26"/>
      <x:c r="K148" s="26"/>
      <x:c r="L148" s="26"/>
      <x:c r="M148" s="26"/>
      <x:c r="N148" s="26"/>
      <x:c r="O148" s="26"/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6"/>
    </x:row>
    <x:row r="149">
      <x:c r="A149" s="26"/>
      <x:c r="B149" s="26"/>
      <x:c r="C149" s="26"/>
      <x:c r="D149" s="26"/>
      <x:c r="E149" s="26"/>
      <x:c r="F149" s="26"/>
      <x:c r="G149" s="26"/>
      <x:c r="H149" s="26"/>
      <x:c r="I149" s="26"/>
      <x:c r="J149" s="26"/>
      <x:c r="K149" s="26"/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6"/>
    </x:row>
    <x:row r="150">
      <x:c r="A150" s="26"/>
      <x:c r="B150" s="26"/>
      <x:c r="C150" s="26"/>
      <x:c r="D150" s="26"/>
      <x:c r="E150" s="26"/>
      <x:c r="F150" s="26"/>
      <x:c r="G150" s="26"/>
      <x:c r="H150" s="26"/>
      <x:c r="I150" s="26"/>
      <x:c r="J150" s="26"/>
      <x:c r="K150" s="26"/>
      <x:c r="L150" s="26"/>
      <x:c r="M150" s="26"/>
      <x:c r="N150" s="26"/>
      <x:c r="O150" s="26"/>
      <x:c r="P150" s="26"/>
      <x:c r="Q150" s="26"/>
      <x:c r="R150" s="26"/>
      <x:c r="S150" s="26"/>
      <x:c r="T150" s="26"/>
      <x:c r="U150" s="26"/>
      <x:c r="V150" s="26"/>
      <x:c r="W150" s="26"/>
      <x:c r="X150" s="26"/>
      <x:c r="Y150" s="26"/>
      <x:c r="Z150" s="26"/>
    </x:row>
    <x:row r="151">
      <x:c r="A151" s="26"/>
      <x:c r="B151" s="26"/>
      <x:c r="C151" s="26"/>
      <x:c r="D151" s="26"/>
      <x:c r="E151" s="26"/>
      <x:c r="F151" s="26"/>
      <x:c r="G151" s="26"/>
      <x:c r="H151" s="26"/>
      <x:c r="I151" s="26"/>
      <x:c r="J151" s="26"/>
      <x:c r="K151" s="26"/>
      <x:c r="L151" s="26"/>
      <x:c r="M151" s="26"/>
      <x:c r="N151" s="26"/>
      <x:c r="O151" s="26"/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/>
      <x:c r="Z151" s="26"/>
    </x:row>
    <x:row r="152">
      <x:c r="A152" s="26"/>
      <x:c r="B152" s="26"/>
      <x:c r="C152" s="26"/>
      <x:c r="D152" s="26"/>
      <x:c r="E152" s="26"/>
      <x:c r="F152" s="26"/>
      <x:c r="G152" s="26"/>
      <x:c r="H152" s="26"/>
      <x:c r="I152" s="26"/>
      <x:c r="J152" s="26"/>
      <x:c r="K152" s="26"/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/>
      <x:c r="W152" s="26"/>
      <x:c r="X152" s="26"/>
      <x:c r="Y152" s="26"/>
      <x:c r="Z152" s="26"/>
    </x:row>
    <x:row r="153">
      <x:c r="A153" s="26"/>
      <x:c r="B153" s="26"/>
      <x:c r="C153" s="26"/>
      <x:c r="D153" s="26"/>
      <x:c r="E153" s="26"/>
      <x:c r="F153" s="26"/>
      <x:c r="G153" s="26"/>
      <x:c r="H153" s="26"/>
      <x:c r="I153" s="26"/>
      <x:c r="J153" s="26"/>
      <x:c r="K153" s="26"/>
      <x:c r="L153" s="26"/>
      <x:c r="M153" s="26"/>
      <x:c r="N153" s="26"/>
      <x:c r="O153" s="26"/>
      <x:c r="P153" s="26"/>
      <x:c r="Q153" s="26"/>
      <x:c r="R153" s="26"/>
      <x:c r="S153" s="26"/>
      <x:c r="T153" s="26"/>
      <x:c r="U153" s="26"/>
      <x:c r="V153" s="26"/>
      <x:c r="W153" s="26"/>
      <x:c r="X153" s="26"/>
      <x:c r="Y153" s="26"/>
      <x:c r="Z153" s="26"/>
    </x:row>
    <x:row r="154">
      <x:c r="A154" s="26"/>
      <x:c r="B154" s="26"/>
      <x:c r="C154" s="26"/>
      <x:c r="D154" s="26"/>
      <x:c r="E154" s="26"/>
      <x:c r="F154" s="26"/>
      <x:c r="G154" s="26"/>
      <x:c r="H154" s="26"/>
      <x:c r="I154" s="26"/>
      <x:c r="J154" s="26"/>
      <x:c r="K154" s="26"/>
      <x:c r="L154" s="26"/>
      <x:c r="M154" s="26"/>
      <x:c r="N154" s="26"/>
      <x:c r="O154" s="26"/>
      <x:c r="P154" s="26"/>
      <x:c r="Q154" s="26"/>
      <x:c r="R154" s="26"/>
      <x:c r="S154" s="26"/>
      <x:c r="T154" s="26"/>
      <x:c r="U154" s="26"/>
      <x:c r="V154" s="26"/>
      <x:c r="W154" s="26"/>
      <x:c r="X154" s="26"/>
      <x:c r="Y154" s="26"/>
      <x:c r="Z154" s="26"/>
    </x:row>
    <x:row r="155">
      <x:c r="A155" s="26"/>
      <x:c r="B155" s="26"/>
      <x:c r="C155" s="26"/>
      <x:c r="D155" s="26"/>
      <x:c r="E155" s="26"/>
      <x:c r="F155" s="26"/>
      <x:c r="G155" s="26"/>
      <x:c r="H155" s="26"/>
      <x:c r="I155" s="26"/>
      <x:c r="J155" s="26"/>
      <x:c r="K155" s="26"/>
      <x:c r="L155" s="26"/>
      <x:c r="M155" s="26"/>
      <x:c r="N155" s="26"/>
      <x:c r="O155" s="26"/>
      <x:c r="P155" s="26"/>
      <x:c r="Q155" s="26"/>
      <x:c r="R155" s="26"/>
      <x:c r="S155" s="26"/>
      <x:c r="T155" s="26"/>
      <x:c r="U155" s="26"/>
      <x:c r="V155" s="26"/>
      <x:c r="W155" s="26"/>
      <x:c r="X155" s="26"/>
      <x:c r="Y155" s="26"/>
      <x:c r="Z155" s="26"/>
    </x:row>
    <x:row r="156">
      <x:c r="A156" s="26"/>
      <x:c r="B156" s="26"/>
      <x:c r="C156" s="26"/>
      <x:c r="D156" s="26"/>
      <x:c r="E156" s="26"/>
      <x:c r="F156" s="26"/>
      <x:c r="G156" s="26"/>
      <x:c r="H156" s="26"/>
      <x:c r="I156" s="26"/>
      <x:c r="J156" s="26"/>
      <x:c r="K156" s="26"/>
      <x:c r="L156" s="26"/>
      <x:c r="M156" s="26"/>
      <x:c r="N156" s="26"/>
      <x:c r="O156" s="26"/>
      <x:c r="P156" s="26"/>
      <x:c r="Q156" s="26"/>
      <x:c r="R156" s="26"/>
      <x:c r="S156" s="26"/>
      <x:c r="T156" s="26"/>
      <x:c r="U156" s="26"/>
      <x:c r="V156" s="26"/>
      <x:c r="W156" s="26"/>
      <x:c r="X156" s="26"/>
      <x:c r="Y156" s="26"/>
      <x:c r="Z156" s="26"/>
    </x:row>
    <x:row r="157">
      <x:c r="A157" s="26"/>
      <x:c r="B157" s="26"/>
      <x:c r="C157" s="26"/>
      <x:c r="D157" s="26"/>
      <x:c r="E157" s="26"/>
      <x:c r="F157" s="26"/>
      <x:c r="G157" s="26"/>
      <x:c r="H157" s="26"/>
      <x:c r="I157" s="26"/>
      <x:c r="J157" s="26"/>
      <x:c r="K157" s="26"/>
      <x:c r="L157" s="26"/>
      <x:c r="M157" s="26"/>
      <x:c r="N157" s="26"/>
      <x:c r="O157" s="26"/>
      <x:c r="P157" s="26"/>
      <x:c r="Q157" s="26"/>
      <x:c r="R157" s="26"/>
      <x:c r="S157" s="26"/>
      <x:c r="T157" s="26"/>
      <x:c r="U157" s="26"/>
      <x:c r="V157" s="26"/>
      <x:c r="W157" s="26"/>
      <x:c r="X157" s="26"/>
      <x:c r="Y157" s="26"/>
      <x:c r="Z157" s="26"/>
    </x:row>
    <x:row r="158">
      <x:c r="A158" s="26"/>
      <x:c r="B158" s="26"/>
      <x:c r="C158" s="26"/>
      <x:c r="D158" s="26"/>
      <x:c r="E158" s="26"/>
      <x:c r="F158" s="26"/>
      <x:c r="G158" s="26"/>
      <x:c r="H158" s="26"/>
      <x:c r="I158" s="26"/>
      <x:c r="J158" s="26"/>
      <x:c r="K158" s="26"/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</x:row>
    <x:row r="159">
      <x:c r="A159" s="26"/>
      <x:c r="B159" s="26"/>
      <x:c r="C159" s="26"/>
      <x:c r="D159" s="26"/>
      <x:c r="E159" s="26"/>
      <x:c r="F159" s="26"/>
      <x:c r="G159" s="26"/>
      <x:c r="H159" s="26"/>
      <x:c r="I159" s="26"/>
      <x:c r="J159" s="26"/>
      <x:c r="K159" s="26"/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</x:row>
    <x:row r="160">
      <x:c r="A160" s="26"/>
      <x:c r="B160" s="26"/>
      <x:c r="C160" s="26"/>
      <x:c r="D160" s="26"/>
      <x:c r="E160" s="26"/>
      <x:c r="F160" s="26"/>
      <x:c r="G160" s="26"/>
      <x:c r="H160" s="26"/>
      <x:c r="I160" s="26"/>
      <x:c r="J160" s="26"/>
      <x:c r="K160" s="26"/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</x:row>
    <x:row r="161">
      <x:c r="A161" s="26"/>
      <x:c r="B161" s="26"/>
      <x:c r="C161" s="26"/>
      <x:c r="D161" s="26"/>
      <x:c r="E161" s="26"/>
      <x:c r="F161" s="26"/>
      <x:c r="G161" s="26"/>
      <x:c r="H161" s="26"/>
      <x:c r="I161" s="26"/>
      <x:c r="J161" s="26"/>
      <x:c r="K161" s="26"/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</x:row>
    <x:row r="162">
      <x:c r="A162" s="26"/>
      <x:c r="B162" s="26"/>
      <x:c r="C162" s="26"/>
      <x:c r="D162" s="26"/>
      <x:c r="E162" s="26"/>
      <x:c r="F162" s="26"/>
      <x:c r="G162" s="26"/>
      <x:c r="H162" s="26"/>
      <x:c r="I162" s="26"/>
      <x:c r="J162" s="26"/>
      <x:c r="K162" s="26"/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</x:row>
    <x:row r="163">
      <x:c r="A163" s="26"/>
      <x:c r="B163" s="26"/>
      <x:c r="C163" s="26"/>
      <x:c r="D163" s="26"/>
      <x:c r="E163" s="26"/>
      <x:c r="F163" s="26"/>
      <x:c r="G163" s="26"/>
      <x:c r="H163" s="26"/>
      <x:c r="I163" s="26"/>
      <x:c r="J163" s="26"/>
      <x:c r="K163" s="26"/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</x:row>
    <x:row r="164">
      <x:c r="A164" s="26"/>
      <x:c r="B164" s="26"/>
      <x:c r="C164" s="26"/>
      <x:c r="D164" s="26"/>
      <x:c r="E164" s="26"/>
      <x:c r="F164" s="26"/>
      <x:c r="G164" s="26"/>
      <x:c r="H164" s="26"/>
      <x:c r="I164" s="26"/>
      <x:c r="J164" s="26"/>
      <x:c r="K164" s="26"/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</x:row>
    <x:row r="165">
      <x:c r="A165" s="26"/>
      <x:c r="B165" s="26"/>
      <x:c r="C165" s="26"/>
      <x:c r="D165" s="26"/>
      <x:c r="E165" s="26"/>
      <x:c r="F165" s="26"/>
      <x:c r="G165" s="26"/>
      <x:c r="H165" s="26"/>
      <x:c r="I165" s="26"/>
      <x:c r="J165" s="26"/>
      <x:c r="K165" s="26"/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</x:row>
    <x:row r="166">
      <x:c r="A166" s="26"/>
      <x:c r="B166" s="26"/>
      <x:c r="C166" s="26"/>
      <x:c r="D166" s="26"/>
      <x:c r="E166" s="26"/>
      <x:c r="F166" s="26"/>
      <x:c r="G166" s="26"/>
      <x:c r="H166" s="26"/>
      <x:c r="I166" s="26"/>
      <x:c r="J166" s="26"/>
      <x:c r="K166" s="26"/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</x:row>
    <x:row r="167">
      <x:c r="A167" s="26"/>
      <x:c r="B167" s="26"/>
      <x:c r="C167" s="26"/>
      <x:c r="D167" s="26"/>
      <x:c r="E167" s="26"/>
      <x:c r="F167" s="26"/>
      <x:c r="G167" s="26"/>
      <x:c r="H167" s="26"/>
      <x:c r="I167" s="26"/>
      <x:c r="J167" s="26"/>
      <x:c r="K167" s="26"/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</x:row>
    <x:row r="168">
      <x:c r="A168" s="26"/>
      <x:c r="B168" s="26"/>
      <x:c r="C168" s="26"/>
      <x:c r="D168" s="26"/>
      <x:c r="E168" s="26"/>
      <x:c r="F168" s="26"/>
      <x:c r="G168" s="26"/>
      <x:c r="H168" s="26"/>
      <x:c r="I168" s="26"/>
      <x:c r="J168" s="26"/>
      <x:c r="K168" s="26"/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</x:row>
    <x:row r="169">
      <x:c r="A169" s="26"/>
      <x:c r="B169" s="26"/>
      <x:c r="C169" s="26"/>
      <x:c r="D169" s="26"/>
      <x:c r="E169" s="26"/>
      <x:c r="F169" s="26"/>
      <x:c r="G169" s="26"/>
      <x:c r="H169" s="26"/>
      <x:c r="I169" s="26"/>
      <x:c r="J169" s="26"/>
      <x:c r="K169" s="26"/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</x:row>
    <x:row r="170">
      <x:c r="A170" s="26"/>
      <x:c r="B170" s="26"/>
      <x:c r="C170" s="26"/>
      <x:c r="D170" s="26"/>
      <x:c r="E170" s="26"/>
      <x:c r="F170" s="26"/>
      <x:c r="G170" s="26"/>
      <x:c r="H170" s="26"/>
      <x:c r="I170" s="26"/>
      <x:c r="J170" s="26"/>
      <x:c r="K170" s="26"/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</x:row>
    <x:row r="171">
      <x:c r="A171" s="26"/>
      <x:c r="B171" s="26"/>
      <x:c r="C171" s="26"/>
      <x:c r="D171" s="26"/>
      <x:c r="E171" s="26"/>
      <x:c r="F171" s="26"/>
      <x:c r="G171" s="26"/>
      <x:c r="H171" s="26"/>
      <x:c r="I171" s="26"/>
      <x:c r="J171" s="26"/>
      <x:c r="K171" s="26"/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</x:row>
    <x:row r="172">
      <x:c r="A172" s="26"/>
      <x:c r="B172" s="26"/>
      <x:c r="C172" s="26"/>
      <x:c r="D172" s="26"/>
      <x:c r="E172" s="26"/>
      <x:c r="F172" s="26"/>
      <x:c r="G172" s="26"/>
      <x:c r="H172" s="26"/>
      <x:c r="I172" s="26"/>
      <x:c r="J172" s="26"/>
      <x:c r="K172" s="26"/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</x:row>
    <x:row r="173">
      <x:c r="A173" s="26"/>
      <x:c r="B173" s="26"/>
      <x:c r="C173" s="26"/>
      <x:c r="D173" s="26"/>
      <x:c r="E173" s="26"/>
      <x:c r="F173" s="26"/>
      <x:c r="G173" s="26"/>
      <x:c r="H173" s="26"/>
      <x:c r="I173" s="26"/>
      <x:c r="J173" s="26"/>
      <x:c r="K173" s="26"/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</x:row>
    <x:row r="174">
      <x:c r="A174" s="26"/>
      <x:c r="B174" s="26"/>
      <x:c r="C174" s="26"/>
      <x:c r="D174" s="26"/>
      <x:c r="E174" s="26"/>
      <x:c r="F174" s="26"/>
      <x:c r="G174" s="26"/>
      <x:c r="H174" s="26"/>
      <x:c r="I174" s="26"/>
      <x:c r="J174" s="26"/>
      <x:c r="K174" s="26"/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</x:row>
    <x:row r="175">
      <x:c r="A175" s="26"/>
      <x:c r="B175" s="26"/>
      <x:c r="C175" s="26"/>
      <x:c r="D175" s="26"/>
      <x:c r="E175" s="26"/>
      <x:c r="F175" s="26"/>
      <x:c r="G175" s="26"/>
      <x:c r="H175" s="26"/>
      <x:c r="I175" s="26"/>
      <x:c r="J175" s="26"/>
      <x:c r="K175" s="26"/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</x:row>
    <x:row r="176">
      <x:c r="A176" s="26"/>
      <x:c r="B176" s="26"/>
      <x:c r="C176" s="26"/>
      <x:c r="D176" s="26"/>
      <x:c r="E176" s="26"/>
      <x:c r="F176" s="26"/>
      <x:c r="G176" s="26"/>
      <x:c r="H176" s="26"/>
      <x:c r="I176" s="26"/>
      <x:c r="J176" s="26"/>
      <x:c r="K176" s="26"/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</x:row>
    <x:row r="177">
      <x:c r="A177" s="26"/>
      <x:c r="B177" s="26"/>
      <x:c r="C177" s="26"/>
      <x:c r="D177" s="26"/>
      <x:c r="E177" s="26"/>
      <x:c r="F177" s="26"/>
      <x:c r="G177" s="26"/>
      <x:c r="H177" s="26"/>
      <x:c r="I177" s="26"/>
      <x:c r="J177" s="26"/>
      <x:c r="K177" s="26"/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</x:row>
    <x:row r="178">
      <x:c r="A178" s="26"/>
      <x:c r="B178" s="26"/>
      <x:c r="C178" s="26"/>
      <x:c r="D178" s="26"/>
      <x:c r="E178" s="26"/>
      <x:c r="F178" s="26"/>
      <x:c r="G178" s="26"/>
      <x:c r="H178" s="26"/>
      <x:c r="I178" s="26"/>
      <x:c r="J178" s="26"/>
      <x:c r="K178" s="26"/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</x:row>
    <x:row r="179">
      <x:c r="A179" s="26"/>
      <x:c r="B179" s="26"/>
      <x:c r="C179" s="26"/>
      <x:c r="D179" s="26"/>
      <x:c r="E179" s="26"/>
      <x:c r="F179" s="26"/>
      <x:c r="G179" s="26"/>
      <x:c r="H179" s="26"/>
      <x:c r="I179" s="26"/>
      <x:c r="J179" s="26"/>
      <x:c r="K179" s="26"/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</x:row>
    <x:row r="180">
      <x:c r="A180" s="26"/>
      <x:c r="B180" s="26"/>
      <x:c r="C180" s="26"/>
      <x:c r="D180" s="26"/>
      <x:c r="E180" s="26"/>
      <x:c r="F180" s="26"/>
      <x:c r="G180" s="26"/>
      <x:c r="H180" s="26"/>
      <x:c r="I180" s="26"/>
      <x:c r="J180" s="26"/>
      <x:c r="K180" s="26"/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</x:row>
    <x:row r="181">
      <x:c r="A181" s="26"/>
      <x:c r="B181" s="26"/>
      <x:c r="C181" s="26"/>
      <x:c r="D181" s="26"/>
      <x:c r="E181" s="26"/>
      <x:c r="F181" s="26"/>
      <x:c r="G181" s="26"/>
      <x:c r="H181" s="26"/>
      <x:c r="I181" s="26"/>
      <x:c r="J181" s="26"/>
      <x:c r="K181" s="26"/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</x:row>
    <x:row r="182">
      <x:c r="A182" s="26"/>
      <x:c r="B182" s="26"/>
      <x:c r="C182" s="26"/>
      <x:c r="D182" s="26"/>
      <x:c r="E182" s="26"/>
      <x:c r="F182" s="26"/>
      <x:c r="G182" s="26"/>
      <x:c r="H182" s="26"/>
      <x:c r="I182" s="26"/>
      <x:c r="J182" s="26"/>
      <x:c r="K182" s="26"/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</x:row>
    <x:row r="183">
      <x:c r="A183" s="26"/>
      <x:c r="B183" s="26"/>
      <x:c r="C183" s="26"/>
      <x:c r="D183" s="26"/>
      <x:c r="E183" s="26"/>
      <x:c r="F183" s="26"/>
      <x:c r="G183" s="26"/>
      <x:c r="H183" s="26"/>
      <x:c r="I183" s="26"/>
      <x:c r="J183" s="26"/>
      <x:c r="K183" s="26"/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</x:row>
    <x:row r="184">
      <x:c r="A184" s="26"/>
      <x:c r="B184" s="26"/>
      <x:c r="C184" s="26"/>
      <x:c r="D184" s="26"/>
      <x:c r="E184" s="26"/>
      <x:c r="F184" s="26"/>
      <x:c r="G184" s="26"/>
      <x:c r="H184" s="26"/>
      <x:c r="I184" s="26"/>
      <x:c r="J184" s="26"/>
      <x:c r="K184" s="26"/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</x:row>
    <x:row r="185">
      <x:c r="A185" s="26"/>
      <x:c r="B185" s="26"/>
      <x:c r="C185" s="26"/>
      <x:c r="D185" s="26"/>
      <x:c r="E185" s="26"/>
      <x:c r="F185" s="26"/>
      <x:c r="G185" s="26"/>
      <x:c r="H185" s="26"/>
      <x:c r="I185" s="26"/>
      <x:c r="J185" s="26"/>
      <x:c r="K185" s="26"/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</x:row>
    <x:row r="186">
      <x:c r="A186" s="26"/>
      <x:c r="B186" s="26"/>
      <x:c r="C186" s="26"/>
      <x:c r="D186" s="26"/>
      <x:c r="E186" s="26"/>
      <x:c r="F186" s="26"/>
      <x:c r="G186" s="26"/>
      <x:c r="H186" s="26"/>
      <x:c r="I186" s="26"/>
      <x:c r="J186" s="26"/>
      <x:c r="K186" s="26"/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</x:row>
    <x:row r="187">
      <x:c r="A187" s="26"/>
      <x:c r="B187" s="26"/>
      <x:c r="C187" s="26"/>
      <x:c r="D187" s="26"/>
      <x:c r="E187" s="26"/>
      <x:c r="F187" s="26"/>
      <x:c r="G187" s="26"/>
      <x:c r="H187" s="26"/>
      <x:c r="I187" s="26"/>
      <x:c r="J187" s="26"/>
      <x:c r="K187" s="26"/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</x:row>
    <x:row r="188">
      <x:c r="A188" s="26"/>
      <x:c r="B188" s="26"/>
      <x:c r="C188" s="26"/>
      <x:c r="D188" s="26"/>
      <x:c r="E188" s="26"/>
      <x:c r="F188" s="26"/>
      <x:c r="G188" s="26"/>
      <x:c r="H188" s="26"/>
      <x:c r="I188" s="26"/>
      <x:c r="J188" s="26"/>
      <x:c r="K188" s="26"/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</x:row>
    <x:row r="189">
      <x:c r="A189" s="26"/>
      <x:c r="B189" s="26"/>
      <x:c r="C189" s="26"/>
      <x:c r="D189" s="26"/>
      <x:c r="E189" s="26"/>
      <x:c r="F189" s="26"/>
      <x:c r="G189" s="26"/>
      <x:c r="H189" s="26"/>
      <x:c r="I189" s="26"/>
      <x:c r="J189" s="26"/>
      <x:c r="K189" s="26"/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</x:row>
    <x:row r="190">
      <x:c r="A190" s="26"/>
      <x:c r="B190" s="26"/>
      <x:c r="C190" s="26"/>
      <x:c r="D190" s="26"/>
      <x:c r="E190" s="26"/>
      <x:c r="F190" s="26"/>
      <x:c r="G190" s="26"/>
      <x:c r="H190" s="26"/>
      <x:c r="I190" s="26"/>
      <x:c r="J190" s="26"/>
      <x:c r="K190" s="26"/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</x:row>
    <x:row r="191">
      <x:c r="A191" s="26"/>
      <x:c r="B191" s="26"/>
      <x:c r="C191" s="26"/>
      <x:c r="D191" s="26"/>
      <x:c r="E191" s="26"/>
      <x:c r="F191" s="26"/>
      <x:c r="G191" s="26"/>
      <x:c r="H191" s="26"/>
      <x:c r="I191" s="26"/>
      <x:c r="J191" s="26"/>
      <x:c r="K191" s="26"/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</x:row>
    <x:row r="192">
      <x:c r="A192" s="26"/>
      <x:c r="B192" s="26"/>
      <x:c r="C192" s="26"/>
      <x:c r="D192" s="26"/>
      <x:c r="E192" s="26"/>
      <x:c r="F192" s="26"/>
      <x:c r="G192" s="26"/>
      <x:c r="H192" s="26"/>
      <x:c r="I192" s="26"/>
      <x:c r="J192" s="26"/>
      <x:c r="K192" s="26"/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</x:row>
    <x:row r="193">
      <x:c r="A193" s="26"/>
      <x:c r="B193" s="26"/>
      <x:c r="C193" s="26"/>
      <x:c r="D193" s="26"/>
      <x:c r="E193" s="26"/>
      <x:c r="F193" s="26"/>
      <x:c r="G193" s="26"/>
      <x:c r="H193" s="26"/>
      <x:c r="I193" s="26"/>
      <x:c r="J193" s="26"/>
      <x:c r="K193" s="26"/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</x:row>
    <x:row r="194">
      <x:c r="A194" s="26"/>
      <x:c r="B194" s="26"/>
      <x:c r="C194" s="26"/>
      <x:c r="D194" s="26"/>
      <x:c r="E194" s="26"/>
      <x:c r="F194" s="26"/>
      <x:c r="G194" s="26"/>
      <x:c r="H194" s="26"/>
      <x:c r="I194" s="26"/>
      <x:c r="J194" s="26"/>
      <x:c r="K194" s="26"/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</x:row>
    <x:row r="195">
      <x:c r="A195" s="26"/>
      <x:c r="B195" s="26"/>
      <x:c r="C195" s="26"/>
      <x:c r="D195" s="26"/>
      <x:c r="E195" s="26"/>
      <x:c r="F195" s="26"/>
      <x:c r="G195" s="26"/>
      <x:c r="H195" s="26"/>
      <x:c r="I195" s="26"/>
      <x:c r="J195" s="26"/>
      <x:c r="K195" s="26"/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</x:row>
    <x:row r="196">
      <x:c r="A196" s="26"/>
      <x:c r="B196" s="26"/>
      <x:c r="C196" s="26"/>
      <x:c r="D196" s="26"/>
      <x:c r="E196" s="26"/>
      <x:c r="F196" s="26"/>
      <x:c r="G196" s="26"/>
      <x:c r="H196" s="26"/>
      <x:c r="I196" s="26"/>
      <x:c r="J196" s="26"/>
      <x:c r="K196" s="26"/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</x:row>
    <x:row r="197">
      <x:c r="A197" s="26"/>
      <x:c r="B197" s="26"/>
      <x:c r="C197" s="26"/>
      <x:c r="D197" s="26"/>
      <x:c r="E197" s="26"/>
      <x:c r="F197" s="26"/>
      <x:c r="G197" s="26"/>
      <x:c r="H197" s="26"/>
      <x:c r="I197" s="26"/>
      <x:c r="J197" s="26"/>
      <x:c r="K197" s="26"/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</x:row>
    <x:row r="198">
      <x:c r="A198" s="26"/>
      <x:c r="B198" s="26"/>
      <x:c r="C198" s="26"/>
      <x:c r="D198" s="26"/>
      <x:c r="E198" s="26"/>
      <x:c r="F198" s="26"/>
      <x:c r="G198" s="26"/>
      <x:c r="H198" s="26"/>
      <x:c r="I198" s="26"/>
      <x:c r="J198" s="26"/>
      <x:c r="K198" s="26"/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</x:row>
    <x:row r="199">
      <x:c r="A199" s="26"/>
      <x:c r="B199" s="26"/>
      <x:c r="C199" s="26"/>
      <x:c r="D199" s="26"/>
      <x:c r="E199" s="26"/>
      <x:c r="F199" s="26"/>
      <x:c r="G199" s="26"/>
      <x:c r="H199" s="26"/>
      <x:c r="I199" s="26"/>
      <x:c r="J199" s="26"/>
      <x:c r="K199" s="26"/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</x:row>
    <x:row r="200">
      <x:c r="A200" s="26"/>
      <x:c r="B200" s="26"/>
      <x:c r="C200" s="26"/>
      <x:c r="D200" s="26"/>
      <x:c r="E200" s="26"/>
      <x:c r="F200" s="26"/>
      <x:c r="G200" s="26"/>
      <x:c r="H200" s="26"/>
      <x:c r="I200" s="26"/>
      <x:c r="J200" s="26"/>
      <x:c r="K200" s="26"/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</x:row>
  </x:sheetData>
  <x:mergeCells>
    <x:mergeCell ref="A1:H1"/>
  </x:mergeCells>
  <x:conditionalFormatting sqref="B4:H9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pageMargins left="0.7" right="0.7" top="0.75" bottom="0.75" header="0.3" footer="0.3"/>
</x:worksheet>
</file>