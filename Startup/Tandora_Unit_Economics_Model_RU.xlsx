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a9c670b8b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14057f543b14fd3"/>
    <x:sheet xmlns:r="http://schemas.openxmlformats.org/officeDocument/2006/relationships" name="Funnel" sheetId="2" r:id="Rd02d5246ae4a4915"/>
    <x:sheet xmlns:r="http://schemas.openxmlformats.org/officeDocument/2006/relationships" name="Revenue" sheetId="3" r:id="Rf460f2c3ed85473b"/>
    <x:sheet xmlns:r="http://schemas.openxmlformats.org/officeDocument/2006/relationships" name="Costs" sheetId="4" r:id="R3bf34de68baf414f"/>
    <x:sheet xmlns:r="http://schemas.openxmlformats.org/officeDocument/2006/relationships" name="Unit_Economics" sheetId="5" r:id="Ra8befc040d434640"/>
    <x:sheet xmlns:r="http://schemas.openxmlformats.org/officeDocument/2006/relationships" name="Scenarios" sheetId="6" r:id="R3df3c560cfba4675"/>
    <x:sheet xmlns:r="http://schemas.openxmlformats.org/officeDocument/2006/relationships" name="Cohorts" sheetId="7" r:id="R47c78c4ee39b4a86"/>
    <x:sheet xmlns:r="http://schemas.openxmlformats.org/officeDocument/2006/relationships" name="Dashboard" sheetId="8" r:id="R01cfbdb086854033"/>
    <x:sheet xmlns:r="http://schemas.openxmlformats.org/officeDocument/2006/relationships" name="Warnings" sheetId="9" r:id="R5c040fc76ff74ff9"/>
    <x:sheet xmlns:r="http://schemas.openxmlformats.org/officeDocument/2006/relationships" name="Sensitivity" sheetId="10" r:id="Ra507ce33a03f4bd1"/>
    <x:sheet xmlns:r="http://schemas.openxmlformats.org/officeDocument/2006/relationships" name="Pricing_Reality" sheetId="11" r:id="Rae637f11064e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 ₽;[Red](#,##0 ₽);-"/>
    <x:numFmt numFmtId="202" formatCode="#,##0;[Red](#,##0);-"/>
    <x:numFmt numFmtId="203" formatCode="0.0x;[Red](0.0x);-"/>
    <x:numFmt numFmtId="204" formatCode="0.0 &quot;мес.&quot;;[Red](0.0 &quot;мес.&quot;);-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b/>
      <x:sz val="10"/>
      <x:color rgb="FFFFFF"/>
      <x:name val="Arial"/>
    </x:font>
    <x:font>
      <x:sz val="10"/>
      <x:name val="Arial"/>
    </x:font>
    <x:font>
      <x:sz val="10"/>
      <x:color rgb="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202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vertical="center"/>
    </x:xf>
    <x:xf numFmtId="201" fontId="6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2" fontId="4" fillId="3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ed20cc14f4a91" /><Relationship Type="http://schemas.openxmlformats.org/officeDocument/2006/relationships/theme" Target="/xl/theme/theme1.xml" Id="Reb2d517c82db4bf6" /><Relationship Type="http://schemas.openxmlformats.org/officeDocument/2006/relationships/sharedStrings" Target="/xl/sharedStrings.xml" Id="Rf2411ddb50ed4bbc" /><Relationship Type="http://schemas.openxmlformats.org/officeDocument/2006/relationships/worksheet" Target="/xl/worksheets/sheet1.xml" Id="Rc14057f543b14fd3" /><Relationship Type="http://schemas.openxmlformats.org/officeDocument/2006/relationships/worksheet" Target="/xl/worksheets/sheet2.xml" Id="Rd02d5246ae4a4915" /><Relationship Type="http://schemas.openxmlformats.org/officeDocument/2006/relationships/worksheet" Target="/xl/worksheets/sheet3.xml" Id="Rf460f2c3ed85473b" /><Relationship Type="http://schemas.openxmlformats.org/officeDocument/2006/relationships/worksheet" Target="/xl/worksheets/sheet4.xml" Id="R3bf34de68baf414f" /><Relationship Type="http://schemas.openxmlformats.org/officeDocument/2006/relationships/worksheet" Target="/xl/worksheets/sheet5.xml" Id="Ra8befc040d434640" /><Relationship Type="http://schemas.openxmlformats.org/officeDocument/2006/relationships/worksheet" Target="/xl/worksheets/sheet6.xml" Id="R3df3c560cfba4675" /><Relationship Type="http://schemas.openxmlformats.org/officeDocument/2006/relationships/worksheet" Target="/xl/worksheets/sheet7.xml" Id="R47c78c4ee39b4a86" /><Relationship Type="http://schemas.openxmlformats.org/officeDocument/2006/relationships/worksheet" Target="/xl/worksheets/sheet8.xml" Id="R01cfbdb086854033" /><Relationship Type="http://schemas.openxmlformats.org/officeDocument/2006/relationships/worksheet" Target="/xl/worksheets/sheet9.xml" Id="R5c040fc76ff74ff9" /><Relationship Type="http://schemas.openxmlformats.org/officeDocument/2006/relationships/worksheet" Target="/xl/worksheets/sheet10.xml" Id="Ra507ce33a03f4bd1" /><Relationship Type="http://schemas.openxmlformats.org/officeDocument/2006/relationships/worksheet" Target="/xl/worksheets/sheet11.xml" Id="Rae637f11064e47a9" /></Relationships>
</file>

<file path=xl/tables/table1.xml><?xml version="1.0" encoding="utf-8"?>
<x:table xmlns:x="http://schemas.openxmlformats.org/spreadsheetml/2006/main" id="1" name="AssumptionsTable" displayName="AssumptionsTable" ref="A3:G37" headerRowCount="1">
  <x:tableColumns count="7">
    <x:tableColumn id="1" name="parameter"/>
    <x:tableColumn id="2" name="description"/>
    <x:tableColumn id="3" name="value"/>
    <x:tableColumn id="4" name="unit"/>
    <x:tableColumn id="5" name="source_type"/>
    <x:tableColumn id="6" name="confidence"/>
    <x:tableColumn id="7" name="editable"/>
  </x:tableColumns>
  <x:tableStyleInfo name="TableStyleMedium2" showRowStripes="1"/>
</x:table>
</file>

<file path=xl/tables/table2.xml><?xml version="1.0" encoding="utf-8"?>
<x:table xmlns:x="http://schemas.openxmlformats.org/spreadsheetml/2006/main" id="3" name="FunnelTable" displayName="FunnelTable" ref="A3:O12" headerRowCount="1">
  <x:tableColumns count="15">
    <x:tableColumn id="1" name="Метрика"/>
    <x:tableColumn id="2" name="Формула / логика"/>
    <x:tableColumn id="3" name="Месяц 1"/>
    <x:tableColumn id="4" name="Месяц 2"/>
    <x:tableColumn id="5" name="Месяц 3"/>
    <x:tableColumn id="6" name="Месяц 4"/>
    <x:tableColumn id="7" name="Месяц 5"/>
    <x:tableColumn id="8" name="Месяц 6"/>
    <x:tableColumn id="9" name="Месяц 7"/>
    <x:tableColumn id="10" name="Месяц 8"/>
    <x:tableColumn id="11" name="Месяц 9"/>
    <x:tableColumn id="12" name="Месяц 10"/>
    <x:tableColumn id="13" name="Месяц 11"/>
    <x:tableColumn id="14" name="Месяц 12"/>
    <x:tableColumn id="15" name="Итого / среднее"/>
  </x:tableColumns>
  <x:tableStyleInfo name="TableStyleMedium2" showRowStripes="1"/>
</x:table>
</file>

<file path=xl/tables/table3.xml><?xml version="1.0" encoding="utf-8"?>
<x:table xmlns:x="http://schemas.openxmlformats.org/spreadsheetml/2006/main" id="4" name="RevenueTable" displayName="RevenueTable" ref="A3:N13" headerRowCount="1">
  <x:tableColumns count="14">
    <x:tableColumn id="1" name="Метрика"/>
    <x:tableColumn id="2" name="Формула / логика"/>
    <x:tableColumn id="3" name="Месяц 1"/>
    <x:tableColumn id="4" name="Месяц 2"/>
    <x:tableColumn id="5" name="Месяц 3"/>
    <x:tableColumn id="6" name="Месяц 4"/>
    <x:tableColumn id="7" name="Месяц 5"/>
    <x:tableColumn id="8" name="Месяц 6"/>
    <x:tableColumn id="9" name="Месяц 7"/>
    <x:tableColumn id="10" name="Месяц 8"/>
    <x:tableColumn id="11" name="Месяц 9"/>
    <x:tableColumn id="12" name="Месяц 10"/>
    <x:tableColumn id="13" name="Месяц 11"/>
    <x:tableColumn id="14" name="Месяц 12"/>
  </x:tableColumns>
  <x:tableStyleInfo name="TableStyleMedium2" showRowStripes="1"/>
</x:table>
</file>

<file path=xl/tables/table4.xml><?xml version="1.0" encoding="utf-8"?>
<x:table xmlns:x="http://schemas.openxmlformats.org/spreadsheetml/2006/main" id="5" name="CostsTable" displayName="CostsTable" ref="A3:O16" headerRowCount="1">
  <x:tableColumns count="15">
    <x:tableColumn id="1" name="Метрика"/>
    <x:tableColumn id="2" name="Формула / логика"/>
    <x:tableColumn id="3" name="Месяц 1"/>
    <x:tableColumn id="4" name="Месяц 2"/>
    <x:tableColumn id="5" name="Месяц 3"/>
    <x:tableColumn id="6" name="Месяц 4"/>
    <x:tableColumn id="7" name="Месяц 5"/>
    <x:tableColumn id="8" name="Месяц 6"/>
    <x:tableColumn id="9" name="Месяц 7"/>
    <x:tableColumn id="10" name="Месяц 8"/>
    <x:tableColumn id="11" name="Месяц 9"/>
    <x:tableColumn id="12" name="Месяц 10"/>
    <x:tableColumn id="13" name="Месяц 11"/>
    <x:tableColumn id="14" name="Месяц 12"/>
    <x:tableColumn id="15" name="Итого / среднее"/>
  </x:tableColumns>
  <x:tableStyleInfo name="TableStyleMedium2" showRowStripes="1"/>
</x:table>
</file>

<file path=xl/tables/table5.xml><?xml version="1.0" encoding="utf-8"?>
<x:table xmlns:x="http://schemas.openxmlformats.org/spreadsheetml/2006/main" id="6" name="UnitEconomicsTable" displayName="UnitEconomicsTable" ref="A3:E24" headerRowCount="1">
  <x:tableColumns count="5">
    <x:tableColumn id="1" name="Метрика"/>
    <x:tableColumn id="2" name="Формула"/>
    <x:tableColumn id="3" name="Значение"/>
    <x:tableColumn id="4" name="Единица"/>
    <x:tableColumn id="5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2" name="ScenariosTable" displayName="ScenariosTable" ref="A3:E16" headerRowCount="1">
  <x:tableColumns count="5">
    <x:tableColumn id="1" name="Показатель"/>
    <x:tableColumn id="2" name="Conservative"/>
    <x:tableColumn id="3" name="Base"/>
    <x:tableColumn id="4" name="Aggressive"/>
    <x:tableColumn id="5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CohortsTable" displayName="CohortsTable" ref="A3:N15" headerRowCount="1">
  <x:tableColumns count="14">
    <x:tableColumn id="1" name="Когорта"/>
    <x:tableColumn id="2" name="Новые платящие"/>
    <x:tableColumn id="3" name="M0"/>
    <x:tableColumn id="4" name="M1"/>
    <x:tableColumn id="5" name="M2"/>
    <x:tableColumn id="6" name="M3"/>
    <x:tableColumn id="7" name="M4"/>
    <x:tableColumn id="8" name="M5"/>
    <x:tableColumn id="9" name="M6"/>
    <x:tableColumn id="10" name="M7"/>
    <x:tableColumn id="11" name="M8"/>
    <x:tableColumn id="12" name="M9"/>
    <x:tableColumn id="13" name="M10"/>
    <x:tableColumn id="14" name="M11"/>
  </x:tableColumns>
  <x:tableStyleInfo name="TableStyleMedium2" showRowStripes="1"/>
</x:table>
</file>

<file path=xl/tables/table8.xml><?xml version="1.0" encoding="utf-8"?>
<x:table xmlns:x="http://schemas.openxmlformats.org/spreadsheetml/2006/main" id="11" name="DashboardTable" displayName="DashboardTable" ref="A3:H24" headerRowCount="1">
  <x:tableColumns count="8">
    <x:tableColumn id="1" name="KPI"/>
    <x:tableColumn id="2" name="Значение"/>
    <x:tableColumn id="3" name="Единица"/>
    <x:tableColumn id="4" name="Статус"/>
    <x:tableColumn id="5" name="Цель / порог"/>
    <x:tableColumn id="6" name="Формула"/>
    <x:tableColumn id="7" name="Интерпретация"/>
    <x:tableColumn id="8" name="Приоритет"/>
  </x:tableColumns>
  <x:tableStyleInfo name="TableStyleMedium2" showRowStripes="1"/>
</x:table>
</file>

<file path=xl/tables/table9.xml><?xml version="1.0" encoding="utf-8"?>
<x:table xmlns:x="http://schemas.openxmlformats.org/spreadsheetml/2006/main" id="9" name="WarningsTable" displayName="WarningsTable" ref="A3:F16" headerRowCount="1">
  <x:tableColumns count="6">
    <x:tableColumn id="1" name="Тип"/>
    <x:tableColumn id="2" name="Пункт"/>
    <x:tableColumn id="3" name="Описание"/>
    <x:tableColumn id="4" name="Влияние"/>
    <x:tableColumn id="5" name="Что проверить"/>
    <x:tableColumn id="6" name="Источник / ссылка"/>
  </x:tableColumns>
  <x:tableStyleInfo name="TableStyleMedium2" showRowStripes="1"/>
</x:table>
</file>

<file path=xl/tables/table10.xml><?xml version="1.0" encoding="utf-8"?>
<x:table xmlns:x="http://schemas.openxmlformats.org/spreadsheetml/2006/main" id="8" name="SensitivityTable" displayName="SensitivityTable" ref="A3:H9" headerRowCount="1">
  <x:tableColumns count="8">
    <x:tableColumn id="1" name="Monthly churn \ Activation→Paid"/>
    <x:tableColumn id="2" name="0.1"/>
    <x:tableColumn id="3" name="0.15"/>
    <x:tableColumn id="4" name="0.2"/>
    <x:tableColumn id="5" name="0.25"/>
    <x:tableColumn id="6" name="0.3"/>
    <x:tableColumn id="7" name="0.35"/>
    <x:tableColumn id="8" name="0.4"/>
  </x:tableColumns>
  <x:tableStyleInfo name="TableStyleMedium2" showRowStripes="1"/>
</x:table>
</file>

<file path=xl/tables/table11.xml><?xml version="1.0" encoding="utf-8"?>
<x:table xmlns:x="http://schemas.openxmlformats.org/spreadsheetml/2006/main" id="10" name="PricingRealityTable" displayName="PricingRealityTable" ref="A3:H11" headerRowCount="1">
  <x:tableColumns count="8">
    <x:tableColumn id="1" name="Уровень"/>
    <x:tableColumn id="2" name="Цена"/>
    <x:tableColumn id="3" name="Для кого"/>
    <x:tableColumn id="4" name="Почему"/>
    <x:tableColumn id="5" name="Риск"/>
    <x:tableColumn id="6" name="Моя оценка"/>
    <x:tableColumn id="7" name="Источник"/>
    <x:tableColumn id="8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29984233af46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e209d766e2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699a497c2c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bcc709908f41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ae9939e3f946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08755d2bf4c47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fc8d5ed38b43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85d7a434caa47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3355d08bb348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6c7ab3398f3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78bbc5158d541b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18" hidden="0" customWidth="1"/>
    <x:col min="5" max="5" width="36" hidden="0" customWidth="1"/>
    <x:col min="6" max="6" width="14" hidden="0" customWidth="1"/>
    <x:col min="7" max="7" width="14" hidden="0" customWidth="1"/>
  </x:cols>
  <x:sheetData>
    <x:row r="1">
      <x:c r="A1" s="70" t="str">
        <x:v>Tandora — допущения модели юнит-экономики</x:v>
      </x:c>
      <x:c r="B1" s="70"/>
      <x:c r="C1" s="70"/>
      <x:c r="D1" s="70"/>
      <x:c r="E1" s="70"/>
      <x:c r="F1" s="70"/>
      <x:c r="G1" s="70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parameter</x:v>
      </x:c>
      <x:c r="B3" s="72" t="str">
        <x:v>description</x:v>
      </x:c>
      <x:c r="C3" s="72" t="str">
        <x:v>value</x:v>
      </x:c>
      <x:c r="D3" s="72" t="str">
        <x:v>unit</x:v>
      </x:c>
      <x:c r="E3" s="72" t="str">
        <x:v>source_type</x:v>
      </x:c>
      <x:c r="F3" s="72" t="str">
        <x:v>confidence</x:v>
      </x:c>
      <x:c r="G3" s="72" t="str">
        <x:v>editable</x:v>
      </x:c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3" t="str">
        <x:v>selected_scenario</x:v>
      </x:c>
      <x:c r="B4" s="73" t="str">
        <x:v>Выбранный сценарий модели</x:v>
      </x:c>
      <x:c r="C4" s="73" t="str">
        <x:v>Base</x:v>
      </x:c>
      <x:c r="D4" s="73" t="str">
        <x:v>текст</x:v>
      </x:c>
      <x:c r="E4" s="73" t="str">
        <x:v>управляющий параметр модели</x:v>
      </x:c>
      <x:c r="F4" s="73" t="str">
        <x:v>high</x:v>
      </x:c>
      <x:c r="G4" s="73" t="str">
        <x:v>yes</x:v>
      </x:c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3" t="str">
        <x:v>known_private_organizers</x:v>
      </x:c>
      <x:c r="B5" s="73" t="str">
        <x:v>Оценка доступных частных организаторов</x:v>
      </x:c>
      <x:c r="C5" s="74" t="n">
        <x:v>900</x:v>
      </x:c>
      <x:c r="D5" s="73" t="str">
        <x:v>организаторы</x:v>
      </x:c>
      <x:c r="E5" s="73" t="str">
        <x:v>данные пользователя</x:v>
      </x:c>
      <x:c r="F5" s="73" t="str">
        <x:v>medium</x:v>
      </x:c>
      <x:c r="G5" s="73" t="str">
        <x:v>yes</x:v>
      </x:c>
      <x:c r="H5" s="71"/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3" t="str">
        <x:v>market_camps_ru</x:v>
      </x:c>
      <x:c r="B6" s="73" t="str">
        <x:v>Оценка количества лагерей в России</x:v>
      </x:c>
      <x:c r="C6" s="75" t="n">
        <x:v>29000</x:v>
      </x:c>
      <x:c r="D6" s="73" t="str">
        <x:v>лагеря</x:v>
      </x:c>
      <x:c r="E6" s="73" t="str">
        <x:v>данные пользователя; не равно числу покупателей</x:v>
      </x:c>
      <x:c r="F6" s="73" t="str">
        <x:v>low</x:v>
      </x:c>
      <x:c r="G6" s="73" t="str">
        <x:v>yes</x:v>
      </x:c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3" t="str">
        <x:v>monthly_price_low</x:v>
      </x:c>
      <x:c r="B7" s="73" t="str">
        <x:v>Нижняя граница месячного тарифа</x:v>
      </x:c>
      <x:c r="C7" s="75" t="n">
        <x:v>5900</x:v>
      </x:c>
      <x:c r="D7" s="73" t="str">
        <x:v>₽/мес</x:v>
      </x:c>
      <x:c r="E7" s="73" t="str">
        <x:v>данные пользователя</x:v>
      </x:c>
      <x:c r="F7" s="73" t="str">
        <x:v>high</x:v>
      </x:c>
      <x:c r="G7" s="73" t="str">
        <x:v>yes</x:v>
      </x:c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3" t="str">
        <x:v>monthly_price_high</x:v>
      </x:c>
      <x:c r="B8" s="73" t="str">
        <x:v>Верхняя граница месячного тарифа</x:v>
      </x:c>
      <x:c r="C8" s="75" t="n">
        <x:v>7900</x:v>
      </x:c>
      <x:c r="D8" s="73" t="str">
        <x:v>₽/мес</x:v>
      </x:c>
      <x:c r="E8" s="73" t="str">
        <x:v>данные пользователя</x:v>
      </x:c>
      <x:c r="F8" s="73" t="str">
        <x:v>high</x:v>
      </x:c>
      <x:c r="G8" s="73" t="str">
        <x:v>yes</x:v>
      </x:c>
      <x:c r="H8" s="71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3" t="str">
        <x:v>season_price</x:v>
      </x:c>
      <x:c r="B9" s="73" t="str">
        <x:v>Сезонный тариф / лагерь</x:v>
      </x:c>
      <x:c r="C9" s="75" t="n">
        <x:v>29900</x:v>
      </x:c>
      <x:c r="D9" s="73" t="str">
        <x:v>₽/сезон</x:v>
      </x:c>
      <x:c r="E9" s="73" t="str">
        <x:v>данные пользователя</x:v>
      </x:c>
      <x:c r="F9" s="73" t="str">
        <x:v>high</x:v>
      </x:c>
      <x:c r="G9" s="73" t="str">
        <x:v>yes</x:v>
      </x:c>
      <x:c r="H9" s="71"/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3" t="str">
        <x:v>annual_price</x:v>
      </x:c>
      <x:c r="B10" s="73" t="str">
        <x:v>Годовой пакет для зрелого организатора</x:v>
      </x:c>
      <x:c r="C10" s="74" t="n">
        <x:v>99000</x:v>
      </x:c>
      <x:c r="D10" s="73" t="str">
        <x:v>₽/год</x:v>
      </x:c>
      <x:c r="E10" s="73" t="str">
        <x:v>AI hypothesis; market benchmark</x:v>
      </x:c>
      <x:c r="F10" s="73" t="str">
        <x:v>low</x:v>
      </x:c>
      <x:c r="G10" s="73" t="str">
        <x:v>yes</x:v>
      </x:c>
      <x:c r="H10" s="71"/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3" t="str">
        <x:v>monthly_plan_mix</x:v>
      </x:c>
      <x:c r="B11" s="73" t="str">
        <x:v>Доля клиентов на месячной подписке</x:v>
      </x:c>
      <x:c r="C11" s="76" t="n">
        <x:v>0.45</x:v>
      </x:c>
      <x:c r="D11" s="73" t="str">
        <x:v>%</x:v>
      </x:c>
      <x:c r="E11" s="73" t="str">
        <x:v>AI hypothesis</x:v>
      </x:c>
      <x:c r="F11" s="73" t="str">
        <x:v>low</x:v>
      </x:c>
      <x:c r="G11" s="73" t="str">
        <x:v>yes</x:v>
      </x:c>
      <x:c r="H11" s="71"/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3" t="str">
        <x:v>season_plan_mix</x:v>
      </x:c>
      <x:c r="B12" s="73" t="str">
        <x:v>Доля клиентов на сезонном пакете</x:v>
      </x:c>
      <x:c r="C12" s="76" t="n">
        <x:v>0.45</x:v>
      </x:c>
      <x:c r="D12" s="73" t="str">
        <x:v>%</x:v>
      </x:c>
      <x:c r="E12" s="73" t="str">
        <x:v>AI hypothesis</x:v>
      </x:c>
      <x:c r="F12" s="73" t="str">
        <x:v>low</x:v>
      </x:c>
      <x:c r="G12" s="73" t="str">
        <x:v>yes</x:v>
      </x:c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3" t="str">
        <x:v>annual_plan_mix</x:v>
      </x:c>
      <x:c r="B13" s="73" t="str">
        <x:v>Доля клиентов на годовом пакете</x:v>
      </x:c>
      <x:c r="C13" s="76" t="n">
        <x:v>0.1</x:v>
      </x:c>
      <x:c r="D13" s="73" t="str">
        <x:v>%</x:v>
      </x:c>
      <x:c r="E13" s="73" t="str">
        <x:v>AI hypothesis</x:v>
      </x:c>
      <x:c r="F13" s="73" t="str">
        <x:v>low</x:v>
      </x:c>
      <x:c r="G13" s="73" t="str">
        <x:v>yes</x:v>
      </x:c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3" t="str">
        <x:v>season_length_months</x:v>
      </x:c>
      <x:c r="B14" s="73" t="str">
        <x:v>Средняя длительность признания сезонной выручки</x:v>
      </x:c>
      <x:c r="C14" s="76" t="n">
        <x:v>6</x:v>
      </x:c>
      <x:c r="D14" s="73" t="str">
        <x:v>месяцы</x:v>
      </x:c>
      <x:c r="E14" s="73" t="str">
        <x:v>AI hypothesis</x:v>
      </x:c>
      <x:c r="F14" s="73" t="str">
        <x:v>medium</x:v>
      </x:c>
      <x:c r="G14" s="73" t="str">
        <x:v>yes</x:v>
      </x:c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3" t="str">
        <x:v>traffic_monthly</x:v>
      </x:c>
      <x:c r="B15" s="73" t="str">
        <x:v>Месячный охват / трафик</x:v>
      </x:c>
      <x:c r="C15" s="76" t="n">
        <x:v>800</x:v>
      </x:c>
      <x:c r="D15" s="73" t="str">
        <x:v>визиты</x:v>
      </x:c>
      <x:c r="E15" s="73" t="str">
        <x:v>AI hypothesis</x:v>
      </x:c>
      <x:c r="F15" s="73" t="str">
        <x:v>low</x:v>
      </x:c>
      <x:c r="G15" s="73" t="str">
        <x:v>yes</x:v>
      </x:c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3" t="str">
        <x:v>visitor_to_lead</x:v>
      </x:c>
      <x:c r="B16" s="73" t="str">
        <x:v>Конверсия трафик → лид</x:v>
      </x:c>
      <x:c r="C16" s="76" t="n">
        <x:v>0.06</x:v>
      </x:c>
      <x:c r="D16" s="73" t="str">
        <x:v>%</x:v>
      </x:c>
      <x:c r="E16" s="73" t="str">
        <x:v>benchmark estimate</x:v>
      </x:c>
      <x:c r="F16" s="73" t="str">
        <x:v>low</x:v>
      </x:c>
      <x:c r="G16" s="73" t="str">
        <x:v>yes</x:v>
      </x:c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3" t="str">
        <x:v>lead_to_registration</x:v>
      </x:c>
      <x:c r="B17" s="73" t="str">
        <x:v>Конверсия лид → регистрация</x:v>
      </x:c>
      <x:c r="C17" s="76" t="n">
        <x:v>0.3</x:v>
      </x:c>
      <x:c r="D17" s="73" t="str">
        <x:v>%</x:v>
      </x:c>
      <x:c r="E17" s="73" t="str">
        <x:v>benchmark estimate</x:v>
      </x:c>
      <x:c r="F17" s="73" t="str">
        <x:v>low</x:v>
      </x:c>
      <x:c r="G17" s="73" t="str">
        <x:v>yes</x:v>
      </x:c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3" t="str">
        <x:v>registration_to_activation</x:v>
      </x:c>
      <x:c r="B18" s="73" t="str">
        <x:v>Конверсия регистрация → активация</x:v>
      </x:c>
      <x:c r="C18" s="76" t="n">
        <x:v>0.55</x:v>
      </x:c>
      <x:c r="D18" s="73" t="str">
        <x:v>%</x:v>
      </x:c>
      <x:c r="E18" s="73" t="str">
        <x:v>benchmark estimate</x:v>
      </x:c>
      <x:c r="F18" s="73" t="str">
        <x:v>low</x:v>
      </x:c>
      <x:c r="G18" s="73" t="str">
        <x:v>yes</x:v>
      </x:c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3" t="str">
        <x:v>activation_to_paid</x:v>
      </x:c>
      <x:c r="B19" s="73" t="str">
        <x:v>Конверсия активация → платящий клиент</x:v>
      </x:c>
      <x:c r="C19" s="76" t="n">
        <x:v>0.2</x:v>
      </x:c>
      <x:c r="D19" s="73" t="str">
        <x:v>%</x:v>
      </x:c>
      <x:c r="E19" s="73" t="str">
        <x:v>benchmark estimate</x:v>
      </x:c>
      <x:c r="F19" s="73" t="str">
        <x:v>low</x:v>
      </x:c>
      <x:c r="G19" s="73" t="str">
        <x:v>yes</x:v>
      </x:c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3" t="str">
        <x:v>monthly_logo_churn</x:v>
      </x:c>
      <x:c r="B20" s="73" t="str">
        <x:v>Месячный churn платящих клиентов</x:v>
      </x:c>
      <x:c r="C20" s="76" t="n">
        <x:v>0.05</x:v>
      </x:c>
      <x:c r="D20" s="73" t="str">
        <x:v>%</x:v>
      </x:c>
      <x:c r="E20" s="73" t="str">
        <x:v>benchmark estimate</x:v>
      </x:c>
      <x:c r="F20" s="73" t="str">
        <x:v>low</x:v>
      </x:c>
      <x:c r="G20" s="73" t="str">
        <x:v>yes</x:v>
      </x:c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3" t="str">
        <x:v>monthly_retention</x:v>
      </x:c>
      <x:c r="B21" s="73" t="str">
        <x:v>Месячный retention</x:v>
      </x:c>
      <x:c r="C21" s="76" t="n">
        <x:v>0.95</x:v>
      </x:c>
      <x:c r="D21" s="73" t="str">
        <x:v>%</x:v>
      </x:c>
      <x:c r="E21" s="73" t="str">
        <x:v>calculated</x:v>
      </x:c>
      <x:c r="F21" s="73" t="str">
        <x:v>medium</x:v>
      </x:c>
      <x:c r="G21" s="73" t="str">
        <x:v>no</x:v>
      </x:c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3" t="str">
        <x:v>gross_margin_target</x:v>
      </x:c>
      <x:c r="B22" s="73" t="str">
        <x:v>Целевая валовая маржа</x:v>
      </x:c>
      <x:c r="C22" s="76" t="n">
        <x:v>0.75</x:v>
      </x:c>
      <x:c r="D22" s="73" t="str">
        <x:v>%</x:v>
      </x:c>
      <x:c r="E22" s="73" t="str">
        <x:v>AI hypothesis for early SaaS</x:v>
      </x:c>
      <x:c r="F22" s="73" t="str">
        <x:v>medium</x:v>
      </x:c>
      <x:c r="G22" s="73" t="str">
        <x:v>yes</x:v>
      </x:c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3" t="str">
        <x:v>payment_processing_pct</x:v>
      </x:c>
      <x:c r="B23" s="73" t="str">
        <x:v>Комиссии платежей / эквайринг</x:v>
      </x:c>
      <x:c r="C23" s="75" t="n">
        <x:v>0.03</x:v>
      </x:c>
      <x:c r="D23" s="73" t="str">
        <x:v>% выручки</x:v>
      </x:c>
      <x:c r="E23" s="73" t="str">
        <x:v>AI hypothesis</x:v>
      </x:c>
      <x:c r="F23" s="73" t="str">
        <x:v>medium</x:v>
      </x:c>
      <x:c r="G23" s="73" t="str">
        <x:v>yes</x:v>
      </x:c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3" t="str">
        <x:v>hosting_per_customer</x:v>
      </x:c>
      <x:c r="B24" s="73" t="str">
        <x:v>Инфраструктура на клиента</x:v>
      </x:c>
      <x:c r="C24" s="75" t="n">
        <x:v>300</x:v>
      </x:c>
      <x:c r="D24" s="73" t="str">
        <x:v>₽/клиент/мес</x:v>
      </x:c>
      <x:c r="E24" s="73" t="str">
        <x:v>AI hypothesis</x:v>
      </x:c>
      <x:c r="F24" s="73" t="str">
        <x:v>low</x:v>
      </x:c>
      <x:c r="G24" s="73" t="str">
        <x:v>yes</x:v>
      </x:c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3" t="str">
        <x:v>support_hours_per_customer</x:v>
      </x:c>
      <x:c r="B25" s="73" t="str">
        <x:v>Поддержка на клиента</x:v>
      </x:c>
      <x:c r="C25" s="74" t="n">
        <x:v>1.5</x:v>
      </x:c>
      <x:c r="D25" s="73" t="str">
        <x:v>час/клиент/мес</x:v>
      </x:c>
      <x:c r="E25" s="73" t="str">
        <x:v>AI hypothesis</x:v>
      </x:c>
      <x:c r="F25" s="73" t="str">
        <x:v>low</x:v>
      </x:c>
      <x:c r="G25" s="73" t="str">
        <x:v>yes</x:v>
      </x:c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3" t="str">
        <x:v>support_hour_cost</x:v>
      </x:c>
      <x:c r="B26" s="73" t="str">
        <x:v>Стоимость часа поддержки</x:v>
      </x:c>
      <x:c r="C26" s="75" t="n">
        <x:v>800</x:v>
      </x:c>
      <x:c r="D26" s="73" t="str">
        <x:v>₽/час</x:v>
      </x:c>
      <x:c r="E26" s="73" t="str">
        <x:v>AI hypothesis</x:v>
      </x:c>
      <x:c r="F26" s="73" t="str">
        <x:v>low</x:v>
      </x:c>
      <x:c r="G26" s="73" t="str">
        <x:v>yes</x:v>
      </x:c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3" t="str">
        <x:v>marketing_spend_monthly</x:v>
      </x:c>
      <x:c r="B27" s="73" t="str">
        <x:v>Маркетинг в месяц</x:v>
      </x:c>
      <x:c r="C27" s="75" t="n">
        <x:v>120000</x:v>
      </x:c>
      <x:c r="D27" s="73" t="str">
        <x:v>₽/мес</x:v>
      </x:c>
      <x:c r="E27" s="73" t="str">
        <x:v>AI hypothesis</x:v>
      </x:c>
      <x:c r="F27" s="73" t="str">
        <x:v>low</x:v>
      </x:c>
      <x:c r="G27" s="73" t="str">
        <x:v>yes</x:v>
      </x:c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3" t="str">
        <x:v>sales_cost_monthly</x:v>
      </x:c>
      <x:c r="B28" s="73" t="str">
        <x:v>Продажи / founder-led sales в месяц</x:v>
      </x:c>
      <x:c r="C28" s="75" t="n">
        <x:v>60000</x:v>
      </x:c>
      <x:c r="D28" s="73" t="str">
        <x:v>₽/мес</x:v>
      </x:c>
      <x:c r="E28" s="73" t="str">
        <x:v>AI hypothesis</x:v>
      </x:c>
      <x:c r="F28" s="73" t="str">
        <x:v>low</x:v>
      </x:c>
      <x:c r="G28" s="73" t="str">
        <x:v>yes</x:v>
      </x:c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3" t="str">
        <x:v>fixed_team_cost_monthly</x:v>
      </x:c>
      <x:c r="B29" s="73" t="str">
        <x:v>Команда / разработка / операционные расходы</x:v>
      </x:c>
      <x:c r="C29" s="75" t="n">
        <x:v>300000</x:v>
      </x:c>
      <x:c r="D29" s="73" t="str">
        <x:v>₽/мес</x:v>
      </x:c>
      <x:c r="E29" s="73" t="str">
        <x:v>AI hypothesis</x:v>
      </x:c>
      <x:c r="F29" s="73" t="str">
        <x:v>low</x:v>
      </x:c>
      <x:c r="G29" s="73" t="str">
        <x:v>yes</x:v>
      </x:c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3" t="str">
        <x:v>tools_and_admin_monthly</x:v>
      </x:c>
      <x:c r="B30" s="73" t="str">
        <x:v>Инструменты, юр., бухгалтерия, сервисы</x:v>
      </x:c>
      <x:c r="C30" s="75" t="n">
        <x:v>40000</x:v>
      </x:c>
      <x:c r="D30" s="73" t="str">
        <x:v>₽/мес</x:v>
      </x:c>
      <x:c r="E30" s="73" t="str">
        <x:v>AI hypothesis</x:v>
      </x:c>
      <x:c r="F30" s="73" t="str">
        <x:v>low</x:v>
      </x:c>
      <x:c r="G30" s="73" t="str">
        <x:v>yes</x:v>
      </x:c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3" t="str">
        <x:v>cash_balance</x:v>
      </x:c>
      <x:c r="B31" s="73" t="str">
        <x:v>Денежный остаток / бюджет</x:v>
      </x:c>
      <x:c r="C31" s="75" t="n">
        <x:v>900000</x:v>
      </x:c>
      <x:c r="D31" s="73" t="str">
        <x:v>₽</x:v>
      </x:c>
      <x:c r="E31" s="73" t="str">
        <x:v>AI hypothesis</x:v>
      </x:c>
      <x:c r="F31" s="73" t="str">
        <x:v>low</x:v>
      </x:c>
      <x:c r="G31" s="73" t="str">
        <x:v>yes</x:v>
      </x:c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3" t="str">
        <x:v>starting_paid_users</x:v>
      </x:c>
      <x:c r="B32" s="73" t="str">
        <x:v>Платящие клиенты на старте</x:v>
      </x:c>
      <x:c r="C32" s="74" t="n">
        <x:v>0</x:v>
      </x:c>
      <x:c r="D32" s="73" t="str">
        <x:v>клиенты</x:v>
      </x:c>
      <x:c r="E32" s="73" t="str">
        <x:v>AI hypothesis</x:v>
      </x:c>
      <x:c r="F32" s="73" t="str">
        <x:v>medium</x:v>
      </x:c>
      <x:c r="G32" s="73" t="str">
        <x:v>yes</x:v>
      </x:c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3" t="str">
        <x:v>realistic_start_price</x:v>
      </x:c>
      <x:c r="B33" s="73" t="str">
        <x:v>Реальная стартовая цена по моей оценке</x:v>
      </x:c>
      <x:c r="C33" s="75" t="n">
        <x:v>29900</x:v>
      </x:c>
      <x:c r="D33" s="73" t="str">
        <x:v>₽/сезон</x:v>
      </x:c>
      <x:c r="E33" s="73" t="str">
        <x:v>AI recommendation; market-based</x:v>
      </x:c>
      <x:c r="F33" s="73" t="str">
        <x:v>medium</x:v>
      </x:c>
      <x:c r="G33" s="73" t="str">
        <x:v>yes</x:v>
      </x:c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3" t="str">
        <x:v>pro_season_price</x:v>
      </x:c>
      <x:c r="B34" s="73" t="str">
        <x:v>Pro Pilot для крупных лагерей</x:v>
      </x:c>
      <x:c r="C34" s="75" t="n">
        <x:v>69000</x:v>
      </x:c>
      <x:c r="D34" s="73" t="str">
        <x:v>₽/сезон</x:v>
      </x:c>
      <x:c r="E34" s="73" t="str">
        <x:v>AI recommendation; market-based</x:v>
      </x:c>
      <x:c r="F34" s="73" t="str">
        <x:v>medium</x:v>
      </x:c>
      <x:c r="G34" s="73" t="str">
        <x:v>yes</x:v>
      </x:c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3" t="str">
        <x:v>low_monthly_risk_threshold</x:v>
      </x:c>
      <x:c r="B35" s="73" t="str">
        <x:v>Порог риска слишком низкого месячного тарифа</x:v>
      </x:c>
      <x:c r="C35" s="75" t="n">
        <x:v>5900</x:v>
      </x:c>
      <x:c r="D35" s="73" t="str">
        <x:v>₽/мес</x:v>
      </x:c>
      <x:c r="E35" s="73" t="str">
        <x:v>AI recommendation</x:v>
      </x:c>
      <x:c r="F35" s="73" t="str">
        <x:v>medium</x:v>
      </x:c>
      <x:c r="G35" s="73" t="str">
        <x:v>yes</x:v>
      </x:c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3"/>
      <x:c r="B36" s="73"/>
      <x:c r="C36" s="74"/>
      <x:c r="D36" s="73"/>
      <x:c r="E36" s="73"/>
      <x:c r="F36" s="73"/>
      <x:c r="G36" s="73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3"/>
      <x:c r="B37" s="73"/>
      <x:c r="C37" s="74"/>
      <x:c r="D37" s="73"/>
      <x:c r="E37" s="73"/>
      <x:c r="F37" s="73"/>
      <x:c r="G37" s="73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G1"/>
  </x:mergeCells>
  <x:dataValidations count="1">
    <x:dataValidation type="list" sqref="C4">
      <x:formula1>"Conservative,Base,Aggressive"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29984233af46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70" t="str">
        <x:v>Воронка: трафик → лиды → регистрации → активация → платящие клиенты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Метрика</x:v>
      </x:c>
      <x:c r="B3" s="72" t="str">
        <x:v>Формула / логика</x:v>
      </x:c>
      <x:c r="C3" s="72" t="str">
        <x:v>Месяц 1</x:v>
      </x:c>
      <x:c r="D3" s="72" t="str">
        <x:v>Месяц 2</x:v>
      </x:c>
      <x:c r="E3" s="72" t="str">
        <x:v>Месяц 3</x:v>
      </x:c>
      <x:c r="F3" s="72" t="str">
        <x:v>Месяц 4</x:v>
      </x:c>
      <x:c r="G3" s="72" t="str">
        <x:v>Месяц 5</x:v>
      </x:c>
      <x:c r="H3" s="72" t="str">
        <x:v>Месяц 6</x:v>
      </x:c>
      <x:c r="I3" s="72" t="str">
        <x:v>Месяц 7</x:v>
      </x:c>
      <x:c r="J3" s="72" t="str">
        <x:v>Месяц 8</x:v>
      </x:c>
      <x:c r="K3" s="72" t="str">
        <x:v>Месяц 9</x:v>
      </x:c>
      <x:c r="L3" s="72" t="str">
        <x:v>Месяц 10</x:v>
      </x:c>
      <x:c r="M3" s="72" t="str">
        <x:v>Месяц 11</x:v>
      </x:c>
      <x:c r="N3" s="72" t="str">
        <x:v>Месяц 12</x:v>
      </x:c>
      <x:c r="O3" s="72" t="str">
        <x:v>Итого / среднее</x:v>
      </x:c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3" t="str">
        <x:v>Трафик / охват</x:v>
      </x:c>
      <x:c r="B4" s="73" t="str">
        <x:v>Сценарий: выбранный monthly traffic</x:v>
      </x:c>
      <x:c r="C4" s="88" t="n">
        <x:f>Scenarios!$H$4</x:f>
        <x:v>800</x:v>
      </x:c>
      <x:c r="D4" s="88" t="n">
        <x:f>Scenarios!$H$4</x:f>
        <x:v>800</x:v>
      </x:c>
      <x:c r="E4" s="88" t="n">
        <x:f>Scenarios!$H$4</x:f>
        <x:v>800</x:v>
      </x:c>
      <x:c r="F4" s="88" t="n">
        <x:f>Scenarios!$H$4</x:f>
        <x:v>800</x:v>
      </x:c>
      <x:c r="G4" s="88" t="n">
        <x:f>Scenarios!$H$4</x:f>
        <x:v>800</x:v>
      </x:c>
      <x:c r="H4" s="88" t="n">
        <x:f>Scenarios!$H$4</x:f>
        <x:v>800</x:v>
      </x:c>
      <x:c r="I4" s="88" t="n">
        <x:f>Scenarios!$H$4</x:f>
        <x:v>800</x:v>
      </x:c>
      <x:c r="J4" s="88" t="n">
        <x:f>Scenarios!$H$4</x:f>
        <x:v>800</x:v>
      </x:c>
      <x:c r="K4" s="88" t="n">
        <x:f>Scenarios!$H$4</x:f>
        <x:v>800</x:v>
      </x:c>
      <x:c r="L4" s="88" t="n">
        <x:f>Scenarios!$H$4</x:f>
        <x:v>800</x:v>
      </x:c>
      <x:c r="M4" s="88" t="n">
        <x:f>Scenarios!$H$4</x:f>
        <x:v>800</x:v>
      </x:c>
      <x:c r="N4" s="88" t="n">
        <x:f>Scenarios!$H$4</x:f>
        <x:v>800</x:v>
      </x:c>
      <x:c r="O4" s="88" t="n">
        <x:f>SUM(C4:N4)</x:f>
        <x:v>9600</x:v>
      </x:c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3" t="str">
        <x:v>Лиды</x:v>
      </x:c>
      <x:c r="B5" s="73" t="str">
        <x:v>Traffic * Visitor_to_Lead</x:v>
      </x:c>
      <x:c r="C5" s="88" t="n">
        <x:f>C4*Scenarios!$H$5</x:f>
        <x:v>48</x:v>
      </x:c>
      <x:c r="D5" s="88" t="n">
        <x:f>D4*Scenarios!$H$5</x:f>
        <x:v>48</x:v>
      </x:c>
      <x:c r="E5" s="88" t="n">
        <x:f>E4*Scenarios!$H$5</x:f>
        <x:v>48</x:v>
      </x:c>
      <x:c r="F5" s="88" t="n">
        <x:f>F4*Scenarios!$H$5</x:f>
        <x:v>48</x:v>
      </x:c>
      <x:c r="G5" s="88" t="n">
        <x:f>G4*Scenarios!$H$5</x:f>
        <x:v>48</x:v>
      </x:c>
      <x:c r="H5" s="88" t="n">
        <x:f>H4*Scenarios!$H$5</x:f>
        <x:v>48</x:v>
      </x:c>
      <x:c r="I5" s="88" t="n">
        <x:f>I4*Scenarios!$H$5</x:f>
        <x:v>48</x:v>
      </x:c>
      <x:c r="J5" s="88" t="n">
        <x:f>J4*Scenarios!$H$5</x:f>
        <x:v>48</x:v>
      </x:c>
      <x:c r="K5" s="88" t="n">
        <x:f>K4*Scenarios!$H$5</x:f>
        <x:v>48</x:v>
      </x:c>
      <x:c r="L5" s="88" t="n">
        <x:f>L4*Scenarios!$H$5</x:f>
        <x:v>48</x:v>
      </x:c>
      <x:c r="M5" s="88" t="n">
        <x:f>M4*Scenarios!$H$5</x:f>
        <x:v>48</x:v>
      </x:c>
      <x:c r="N5" s="88" t="n">
        <x:f>N4*Scenarios!$H$5</x:f>
        <x:v>48</x:v>
      </x:c>
      <x:c r="O5" s="88" t="n">
        <x:f>SUM(C5:N5)</x:f>
        <x:v>576</x:v>
      </x:c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3" t="str">
        <x:v>Регистрации</x:v>
      </x:c>
      <x:c r="B6" s="73" t="str">
        <x:v>Leads * Lead_to_Registration</x:v>
      </x:c>
      <x:c r="C6" s="88" t="n">
        <x:f>C5*Scenarios!$H$6</x:f>
        <x:v>14.399999999999999</x:v>
      </x:c>
      <x:c r="D6" s="88" t="n">
        <x:f>D5*Scenarios!$H$6</x:f>
        <x:v>14.399999999999999</x:v>
      </x:c>
      <x:c r="E6" s="88" t="n">
        <x:f>E5*Scenarios!$H$6</x:f>
        <x:v>14.399999999999999</x:v>
      </x:c>
      <x:c r="F6" s="88" t="n">
        <x:f>F5*Scenarios!$H$6</x:f>
        <x:v>14.399999999999999</x:v>
      </x:c>
      <x:c r="G6" s="88" t="n">
        <x:f>G5*Scenarios!$H$6</x:f>
        <x:v>14.399999999999999</x:v>
      </x:c>
      <x:c r="H6" s="88" t="n">
        <x:f>H5*Scenarios!$H$6</x:f>
        <x:v>14.399999999999999</x:v>
      </x:c>
      <x:c r="I6" s="88" t="n">
        <x:f>I5*Scenarios!$H$6</x:f>
        <x:v>14.399999999999999</x:v>
      </x:c>
      <x:c r="J6" s="88" t="n">
        <x:f>J5*Scenarios!$H$6</x:f>
        <x:v>14.399999999999999</x:v>
      </x:c>
      <x:c r="K6" s="88" t="n">
        <x:f>K5*Scenarios!$H$6</x:f>
        <x:v>14.399999999999999</x:v>
      </x:c>
      <x:c r="L6" s="88" t="n">
        <x:f>L5*Scenarios!$H$6</x:f>
        <x:v>14.399999999999999</x:v>
      </x:c>
      <x:c r="M6" s="88" t="n">
        <x:f>M5*Scenarios!$H$6</x:f>
        <x:v>14.399999999999999</x:v>
      </x:c>
      <x:c r="N6" s="88" t="n">
        <x:f>N5*Scenarios!$H$6</x:f>
        <x:v>14.399999999999999</x:v>
      </x:c>
      <x:c r="O6" s="88" t="n">
        <x:f>SUM(C6:N6)</x:f>
        <x:v>172.80000000000004</x:v>
      </x:c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3" t="str">
        <x:v>Активации</x:v>
      </x:c>
      <x:c r="B7" s="73" t="str">
        <x:v>Registrations * Registration_to_Activation</x:v>
      </x:c>
      <x:c r="C7" s="88" t="n">
        <x:f>C6*Scenarios!$H$7</x:f>
        <x:v>7.92</x:v>
      </x:c>
      <x:c r="D7" s="88" t="n">
        <x:f>D6*Scenarios!$H$7</x:f>
        <x:v>7.92</x:v>
      </x:c>
      <x:c r="E7" s="88" t="n">
        <x:f>E6*Scenarios!$H$7</x:f>
        <x:v>7.92</x:v>
      </x:c>
      <x:c r="F7" s="88" t="n">
        <x:f>F6*Scenarios!$H$7</x:f>
        <x:v>7.92</x:v>
      </x:c>
      <x:c r="G7" s="88" t="n">
        <x:f>G6*Scenarios!$H$7</x:f>
        <x:v>7.92</x:v>
      </x:c>
      <x:c r="H7" s="88" t="n">
        <x:f>H6*Scenarios!$H$7</x:f>
        <x:v>7.92</x:v>
      </x:c>
      <x:c r="I7" s="88" t="n">
        <x:f>I6*Scenarios!$H$7</x:f>
        <x:v>7.92</x:v>
      </x:c>
      <x:c r="J7" s="88" t="n">
        <x:f>J6*Scenarios!$H$7</x:f>
        <x:v>7.92</x:v>
      </x:c>
      <x:c r="K7" s="88" t="n">
        <x:f>K6*Scenarios!$H$7</x:f>
        <x:v>7.92</x:v>
      </x:c>
      <x:c r="L7" s="88" t="n">
        <x:f>L6*Scenarios!$H$7</x:f>
        <x:v>7.92</x:v>
      </x:c>
      <x:c r="M7" s="88" t="n">
        <x:f>M6*Scenarios!$H$7</x:f>
        <x:v>7.92</x:v>
      </x:c>
      <x:c r="N7" s="88" t="n">
        <x:f>N6*Scenarios!$H$7</x:f>
        <x:v>7.92</x:v>
      </x:c>
      <x:c r="O7" s="88" t="n">
        <x:f>SUM(C7:N7)</x:f>
        <x:v>95.04</x:v>
      </x:c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3" t="str">
        <x:v>Новые платящие клиенты</x:v>
      </x:c>
      <x:c r="B8" s="73" t="str">
        <x:v>Activated * Activation_to_Paid</x:v>
      </x:c>
      <x:c r="C8" s="88" t="n">
        <x:f>C7*Scenarios!$H$8</x:f>
        <x:v>1.584</x:v>
      </x:c>
      <x:c r="D8" s="88" t="n">
        <x:f>D7*Scenarios!$H$8</x:f>
        <x:v>1.584</x:v>
      </x:c>
      <x:c r="E8" s="88" t="n">
        <x:f>E7*Scenarios!$H$8</x:f>
        <x:v>1.584</x:v>
      </x:c>
      <x:c r="F8" s="88" t="n">
        <x:f>F7*Scenarios!$H$8</x:f>
        <x:v>1.584</x:v>
      </x:c>
      <x:c r="G8" s="88" t="n">
        <x:f>G7*Scenarios!$H$8</x:f>
        <x:v>1.584</x:v>
      </x:c>
      <x:c r="H8" s="88" t="n">
        <x:f>H7*Scenarios!$H$8</x:f>
        <x:v>1.584</x:v>
      </x:c>
      <x:c r="I8" s="88" t="n">
        <x:f>I7*Scenarios!$H$8</x:f>
        <x:v>1.584</x:v>
      </x:c>
      <x:c r="J8" s="88" t="n">
        <x:f>J7*Scenarios!$H$8</x:f>
        <x:v>1.584</x:v>
      </x:c>
      <x:c r="K8" s="88" t="n">
        <x:f>K7*Scenarios!$H$8</x:f>
        <x:v>1.584</x:v>
      </x:c>
      <x:c r="L8" s="88" t="n">
        <x:f>L7*Scenarios!$H$8</x:f>
        <x:v>1.584</x:v>
      </x:c>
      <x:c r="M8" s="88" t="n">
        <x:f>M7*Scenarios!$H$8</x:f>
        <x:v>1.584</x:v>
      </x:c>
      <x:c r="N8" s="88" t="n">
        <x:f>N7*Scenarios!$H$8</x:f>
        <x:v>1.584</x:v>
      </x:c>
      <x:c r="O8" s="88" t="n">
        <x:f>SUM(C8:N8)</x:f>
        <x:v>19.008</x:v>
      </x:c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3" t="str">
        <x:v>Активные платящие клиенты</x:v>
      </x:c>
      <x:c r="B9" s="73" t="str">
        <x:v>Prev Active + New Paid - Churned</x:v>
      </x:c>
      <x:c r="C9" s="88" t="n">
        <x:f>Assumptions!$C$32+C8-C10</x:f>
        <x:v>1.584</x:v>
      </x:c>
      <x:c r="D9" s="88" t="n">
        <x:f>C9+D8-D10</x:f>
        <x:v>3.168</x:v>
      </x:c>
      <x:c r="E9" s="88" t="n">
        <x:f>D9+E8-E10</x:f>
        <x:v>4.752000000000001</x:v>
      </x:c>
      <x:c r="F9" s="88" t="n">
        <x:f>E9+F8-F10</x:f>
        <x:v>6.336</x:v>
      </x:c>
      <x:c r="G9" s="88" t="n">
        <x:f>F9+G8-G10</x:f>
        <x:v>7.92</x:v>
      </x:c>
      <x:c r="H9" s="88" t="n">
        <x:f>G9+H8-H10</x:f>
        <x:v>9.504</x:v>
      </x:c>
      <x:c r="I9" s="88" t="n">
        <x:f>H9+I8-I10</x:f>
        <x:v>11.088</x:v>
      </x:c>
      <x:c r="J9" s="88" t="n">
        <x:f>I9+J8-J10</x:f>
        <x:v>12.671999999999999</x:v>
      </x:c>
      <x:c r="K9" s="88" t="n">
        <x:f>J9+K8-K10</x:f>
        <x:v>14.255999999999998</x:v>
      </x:c>
      <x:c r="L9" s="88" t="n">
        <x:f>K9+L8-L10</x:f>
        <x:v>15.839999999999998</x:v>
      </x:c>
      <x:c r="M9" s="88" t="n">
        <x:f>L9+M8-M10</x:f>
        <x:v>17.424</x:v>
      </x:c>
      <x:c r="N9" s="88" t="n">
        <x:f>M9+N8-N10</x:f>
        <x:v>19.008</x:v>
      </x:c>
      <x:c r="O9" s="88" t="n">
        <x:f>N9</x:f>
        <x:v>19.008</x:v>
      </x:c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3" t="str">
        <x:v>Churned Users</x:v>
      </x:c>
      <x:c r="B10" s="73" t="str">
        <x:v>Active Paid * Monthly Churn</x:v>
      </x:c>
      <x:c r="C10" s="88" t="n">
        <x:f>C9*Scenarios!$H$9</x:f>
        <x:v>0</x:v>
      </x:c>
      <x:c r="D10" s="88" t="n">
        <x:f>D9*Scenarios!$H$9</x:f>
        <x:v>0</x:v>
      </x:c>
      <x:c r="E10" s="88" t="n">
        <x:f>E9*Scenarios!$H$9</x:f>
        <x:v>0</x:v>
      </x:c>
      <x:c r="F10" s="88" t="n">
        <x:f>F9*Scenarios!$H$9</x:f>
        <x:v>0</x:v>
      </x:c>
      <x:c r="G10" s="88" t="n">
        <x:f>G9*Scenarios!$H$9</x:f>
        <x:v>0</x:v>
      </x:c>
      <x:c r="H10" s="88" t="n">
        <x:f>H9*Scenarios!$H$9</x:f>
        <x:v>0</x:v>
      </x:c>
      <x:c r="I10" s="88" t="n">
        <x:f>I9*Scenarios!$H$9</x:f>
        <x:v>0</x:v>
      </x:c>
      <x:c r="J10" s="88" t="n">
        <x:f>J9*Scenarios!$H$9</x:f>
        <x:v>0</x:v>
      </x:c>
      <x:c r="K10" s="88" t="n">
        <x:f>K9*Scenarios!$H$9</x:f>
        <x:v>0</x:v>
      </x:c>
      <x:c r="L10" s="88" t="n">
        <x:f>L9*Scenarios!$H$9</x:f>
        <x:v>0</x:v>
      </x:c>
      <x:c r="M10" s="88" t="n">
        <x:f>M9*Scenarios!$H$9</x:f>
        <x:v>0</x:v>
      </x:c>
      <x:c r="N10" s="88" t="n">
        <x:f>N9*Scenarios!$H$9</x:f>
        <x:v>0</x:v>
      </x:c>
      <x:c r="O10" s="88" t="n">
        <x:f>SUM(C10:N10)</x:f>
        <x:v>0</x:v>
      </x:c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3" t="str">
        <x:v>Conversion to Paid</x:v>
      </x:c>
      <x:c r="B11" s="73" t="str">
        <x:v>New Paid / Traffic</x:v>
      </x:c>
      <x:c r="C11" s="89" t="n">
        <x:f>IFERROR(C8/C4,0)</x:f>
        <x:v>0.00198</x:v>
      </x:c>
      <x:c r="D11" s="89" t="n">
        <x:f>IFERROR(D8/D4,0)</x:f>
        <x:v>0.00198</x:v>
      </x:c>
      <x:c r="E11" s="89" t="n">
        <x:f>IFERROR(E8/E4,0)</x:f>
        <x:v>0.00198</x:v>
      </x:c>
      <x:c r="F11" s="89" t="n">
        <x:f>IFERROR(F8/F4,0)</x:f>
        <x:v>0.00198</x:v>
      </x:c>
      <x:c r="G11" s="89" t="n">
        <x:f>IFERROR(G8/G4,0)</x:f>
        <x:v>0.00198</x:v>
      </x:c>
      <x:c r="H11" s="89" t="n">
        <x:f>IFERROR(H8/H4,0)</x:f>
        <x:v>0.00198</x:v>
      </x:c>
      <x:c r="I11" s="89" t="n">
        <x:f>IFERROR(I8/I4,0)</x:f>
        <x:v>0.00198</x:v>
      </x:c>
      <x:c r="J11" s="89" t="n">
        <x:f>IFERROR(J8/J4,0)</x:f>
        <x:v>0.00198</x:v>
      </x:c>
      <x:c r="K11" s="89" t="n">
        <x:f>IFERROR(K8/K4,0)</x:f>
        <x:v>0.00198</x:v>
      </x:c>
      <x:c r="L11" s="89" t="n">
        <x:f>IFERROR(L8/L4,0)</x:f>
        <x:v>0.00198</x:v>
      </x:c>
      <x:c r="M11" s="89" t="n">
        <x:f>IFERROR(M8/M4,0)</x:f>
        <x:v>0.00198</x:v>
      </x:c>
      <x:c r="N11" s="89" t="n">
        <x:f>IFERROR(N8/N4,0)</x:f>
        <x:v>0.00198</x:v>
      </x:c>
      <x:c r="O11" s="89" t="n">
        <x:f>AVERAGE(C11:N11)</x:f>
        <x:v>0.0019799999999999996</x:v>
      </x:c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3" t="str">
        <x:v>Activation Rate</x:v>
      </x:c>
      <x:c r="B12" s="73" t="str">
        <x:v>Activated / Registrations</x:v>
      </x:c>
      <x:c r="C12" s="89" t="n">
        <x:f>IFERROR(C7/C6,0)</x:f>
        <x:v>0.55</x:v>
      </x:c>
      <x:c r="D12" s="89" t="n">
        <x:f>IFERROR(D7/D6,0)</x:f>
        <x:v>0.55</x:v>
      </x:c>
      <x:c r="E12" s="89" t="n">
        <x:f>IFERROR(E7/E6,0)</x:f>
        <x:v>0.55</x:v>
      </x:c>
      <x:c r="F12" s="89" t="n">
        <x:f>IFERROR(F7/F6,0)</x:f>
        <x:v>0.55</x:v>
      </x:c>
      <x:c r="G12" s="89" t="n">
        <x:f>IFERROR(G7/G6,0)</x:f>
        <x:v>0.55</x:v>
      </x:c>
      <x:c r="H12" s="89" t="n">
        <x:f>IFERROR(H7/H6,0)</x:f>
        <x:v>0.55</x:v>
      </x:c>
      <x:c r="I12" s="89" t="n">
        <x:f>IFERROR(I7/I6,0)</x:f>
        <x:v>0.55</x:v>
      </x:c>
      <x:c r="J12" s="89" t="n">
        <x:f>IFERROR(J7/J6,0)</x:f>
        <x:v>0.55</x:v>
      </x:c>
      <x:c r="K12" s="89" t="n">
        <x:f>IFERROR(K7/K6,0)</x:f>
        <x:v>0.55</x:v>
      </x:c>
      <x:c r="L12" s="89" t="n">
        <x:f>IFERROR(L7/L6,0)</x:f>
        <x:v>0.55</x:v>
      </x:c>
      <x:c r="M12" s="89" t="n">
        <x:f>IFERROR(M7/M6,0)</x:f>
        <x:v>0.55</x:v>
      </x:c>
      <x:c r="N12" s="89" t="n">
        <x:f>IFERROR(N7/N6,0)</x:f>
        <x:v>0.55</x:v>
      </x:c>
      <x:c r="O12" s="89" t="n">
        <x:f>AVERAGE(C12:N12)</x:f>
        <x:v>0.5499999999999999</x:v>
      </x:c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56e209d766e249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70" t="str">
        <x:v>Выручка: подписка, сезонные пакеты, признанная выручка и cash-in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Метрика</x:v>
      </x:c>
      <x:c r="B3" s="72" t="str">
        <x:v>Формула / логика</x:v>
      </x:c>
      <x:c r="C3" s="72" t="str">
        <x:v>Месяц 1</x:v>
      </x:c>
      <x:c r="D3" s="72" t="str">
        <x:v>Месяц 2</x:v>
      </x:c>
      <x:c r="E3" s="72" t="str">
        <x:v>Месяц 3</x:v>
      </x:c>
      <x:c r="F3" s="72" t="str">
        <x:v>Месяц 4</x:v>
      </x:c>
      <x:c r="G3" s="72" t="str">
        <x:v>Месяц 5</x:v>
      </x:c>
      <x:c r="H3" s="72" t="str">
        <x:v>Месяц 6</x:v>
      </x:c>
      <x:c r="I3" s="72" t="str">
        <x:v>Месяц 7</x:v>
      </x:c>
      <x:c r="J3" s="72" t="str">
        <x:v>Месяц 8</x:v>
      </x:c>
      <x:c r="K3" s="72" t="str">
        <x:v>Месяц 9</x:v>
      </x:c>
      <x:c r="L3" s="72" t="str">
        <x:v>Месяц 10</x:v>
      </x:c>
      <x:c r="M3" s="72" t="str">
        <x:v>Месяц 11</x:v>
      </x:c>
      <x:c r="N3" s="72" t="str">
        <x:v>Месяц 12</x:v>
      </x:c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1" t="str">
        <x:v>Активные платящие клиенты</x:v>
      </x:c>
      <x:c r="B4" s="71" t="str">
        <x:v>из Funnel</x:v>
      </x:c>
      <x:c r="C4" s="96" t="n">
        <x:f>Funnel!C9</x:f>
        <x:v>1.584</x:v>
      </x:c>
      <x:c r="D4" s="96" t="n">
        <x:f>Funnel!D9</x:f>
        <x:v>3.168</x:v>
      </x:c>
      <x:c r="E4" s="96" t="n">
        <x:f>Funnel!E9</x:f>
        <x:v>4.752000000000001</x:v>
      </x:c>
      <x:c r="F4" s="96" t="n">
        <x:f>Funnel!F9</x:f>
        <x:v>6.336</x:v>
      </x:c>
      <x:c r="G4" s="96" t="n">
        <x:f>Funnel!G9</x:f>
        <x:v>7.92</x:v>
      </x:c>
      <x:c r="H4" s="96" t="n">
        <x:f>Funnel!H9</x:f>
        <x:v>9.504</x:v>
      </x:c>
      <x:c r="I4" s="96" t="n">
        <x:f>Funnel!I9</x:f>
        <x:v>11.088</x:v>
      </x:c>
      <x:c r="J4" s="96" t="n">
        <x:f>Funnel!J9</x:f>
        <x:v>12.671999999999999</x:v>
      </x:c>
      <x:c r="K4" s="96" t="n">
        <x:f>Funnel!K9</x:f>
        <x:v>14.255999999999998</x:v>
      </x:c>
      <x:c r="L4" s="96" t="n">
        <x:f>Funnel!L9</x:f>
        <x:v>15.839999999999998</x:v>
      </x:c>
      <x:c r="M4" s="96" t="n">
        <x:f>Funnel!M9</x:f>
        <x:v>17.424</x:v>
      </x:c>
      <x:c r="N4" s="96" t="n">
        <x:f>Funnel!N9</x:f>
        <x:v>19.008</x:v>
      </x:c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1" t="str">
        <x:v>ARPPU recognized / мес</x:v>
      </x:c>
      <x:c r="B5" s="71" t="str">
        <x:v>Сценарий / смешанный чек</x:v>
      </x:c>
      <x:c r="C5" s="97" t="n">
        <x:f>Scenarios!$H$10</x:f>
        <x:v>6900</x:v>
      </x:c>
      <x:c r="D5" s="97" t="n">
        <x:f>Scenarios!$H$10</x:f>
        <x:v>6900</x:v>
      </x:c>
      <x:c r="E5" s="97" t="n">
        <x:f>Scenarios!$H$10</x:f>
        <x:v>6900</x:v>
      </x:c>
      <x:c r="F5" s="97" t="n">
        <x:f>Scenarios!$H$10</x:f>
        <x:v>6900</x:v>
      </x:c>
      <x:c r="G5" s="97" t="n">
        <x:f>Scenarios!$H$10</x:f>
        <x:v>6900</x:v>
      </x:c>
      <x:c r="H5" s="97" t="n">
        <x:f>Scenarios!$H$10</x:f>
        <x:v>6900</x:v>
      </x:c>
      <x:c r="I5" s="97" t="n">
        <x:f>Scenarios!$H$10</x:f>
        <x:v>6900</x:v>
      </x:c>
      <x:c r="J5" s="97" t="n">
        <x:f>Scenarios!$H$10</x:f>
        <x:v>6900</x:v>
      </x:c>
      <x:c r="K5" s="97" t="n">
        <x:f>Scenarios!$H$10</x:f>
        <x:v>6900</x:v>
      </x:c>
      <x:c r="L5" s="97" t="n">
        <x:f>Scenarios!$H$10</x:f>
        <x:v>6900</x:v>
      </x:c>
      <x:c r="M5" s="97" t="n">
        <x:f>Scenarios!$H$10</x:f>
        <x:v>6900</x:v>
      </x:c>
      <x:c r="N5" s="97" t="n">
        <x:f>Scenarios!$H$10</x:f>
        <x:v>6900</x:v>
      </x:c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1" t="str">
        <x:v>MRR-like recognized revenue</x:v>
      </x:c>
      <x:c r="B6" s="71" t="str">
        <x:v>Active Paid * ARPPU</x:v>
      </x:c>
      <x:c r="C6" s="97" t="n">
        <x:f>C4*C5</x:f>
        <x:v>10929.6</x:v>
      </x:c>
      <x:c r="D6" s="97" t="n">
        <x:f>D4*D5</x:f>
        <x:v>21859.2</x:v>
      </x:c>
      <x:c r="E6" s="97" t="n">
        <x:f>E4*E5</x:f>
        <x:v>32788.8</x:v>
      </x:c>
      <x:c r="F6" s="97" t="n">
        <x:f>F4*F5</x:f>
        <x:v>43718.4</x:v>
      </x:c>
      <x:c r="G6" s="97" t="n">
        <x:f>G4*G5</x:f>
        <x:v>54648</x:v>
      </x:c>
      <x:c r="H6" s="97" t="n">
        <x:f>H4*H5</x:f>
        <x:v>65577.59999999999</x:v>
      </x:c>
      <x:c r="I6" s="97" t="n">
        <x:f>I4*I5</x:f>
        <x:v>76507.2</x:v>
      </x:c>
      <x:c r="J6" s="97" t="n">
        <x:f>J4*J5</x:f>
        <x:v>87436.79999999999</x:v>
      </x:c>
      <x:c r="K6" s="97" t="n">
        <x:f>K4*K5</x:f>
        <x:v>98366.4</x:v>
      </x:c>
      <x:c r="L6" s="97" t="n">
        <x:f>L4*L5</x:f>
        <x:v>109295.99999999999</x:v>
      </x:c>
      <x:c r="M6" s="97" t="n">
        <x:f>M4*M5</x:f>
        <x:v>120225.59999999999</x:v>
      </x:c>
      <x:c r="N6" s="97" t="n">
        <x:f>N4*N5</x:f>
        <x:v>131155.19999999998</x:v>
      </x:c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1" t="str">
        <x:v>Season Cash-in</x:v>
      </x:c>
      <x:c r="B7" s="71" t="str">
        <x:v>New Paid * Season Price * Season Mix</x:v>
      </x:c>
      <x:c r="C7" s="97" t="n">
        <x:f>Funnel!C8*Assumptions!$C$9*Assumptions!$C$11</x:f>
        <x:v>21312.720000000005</x:v>
      </x:c>
      <x:c r="D7" s="97" t="n">
        <x:f>Funnel!D8*Assumptions!$C$9*Assumptions!$C$11</x:f>
        <x:v>21312.720000000005</x:v>
      </x:c>
      <x:c r="E7" s="97" t="n">
        <x:f>Funnel!E8*Assumptions!$C$9*Assumptions!$C$11</x:f>
        <x:v>21312.720000000005</x:v>
      </x:c>
      <x:c r="F7" s="97" t="n">
        <x:f>Funnel!F8*Assumptions!$C$9*Assumptions!$C$11</x:f>
        <x:v>21312.720000000005</x:v>
      </x:c>
      <x:c r="G7" s="97" t="n">
        <x:f>Funnel!G8*Assumptions!$C$9*Assumptions!$C$11</x:f>
        <x:v>21312.720000000005</x:v>
      </x:c>
      <x:c r="H7" s="97" t="n">
        <x:f>Funnel!H8*Assumptions!$C$9*Assumptions!$C$11</x:f>
        <x:v>21312.720000000005</x:v>
      </x:c>
      <x:c r="I7" s="97" t="n">
        <x:f>Funnel!I8*Assumptions!$C$9*Assumptions!$C$11</x:f>
        <x:v>21312.720000000005</x:v>
      </x:c>
      <x:c r="J7" s="97" t="n">
        <x:f>Funnel!J8*Assumptions!$C$9*Assumptions!$C$11</x:f>
        <x:v>21312.720000000005</x:v>
      </x:c>
      <x:c r="K7" s="97" t="n">
        <x:f>Funnel!K8*Assumptions!$C$9*Assumptions!$C$11</x:f>
        <x:v>21312.720000000005</x:v>
      </x:c>
      <x:c r="L7" s="97" t="n">
        <x:f>Funnel!L8*Assumptions!$C$9*Assumptions!$C$11</x:f>
        <x:v>21312.720000000005</x:v>
      </x:c>
      <x:c r="M7" s="97" t="n">
        <x:f>Funnel!M8*Assumptions!$C$9*Assumptions!$C$11</x:f>
        <x:v>21312.720000000005</x:v>
      </x:c>
      <x:c r="N7" s="97" t="n">
        <x:f>Funnel!N8*Assumptions!$C$9*Assumptions!$C$11</x:f>
        <x:v>21312.720000000005</x:v>
      </x:c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1" t="str">
        <x:v>Monthly Cash-in</x:v>
      </x:c>
      <x:c r="B8" s="71" t="str">
        <x:v>Active Paid * Monthly Price Avg * Monthly Mix</x:v>
      </x:c>
      <x:c r="C8" s="97" t="n">
        <x:f>C4*((Assumptions!$C$6+Assumptions!$C$7)/2)*Assumptions!$C$10</x:f>
        <x:v>2736439200.0000005</x:v>
      </x:c>
      <x:c r="D8" s="97" t="n">
        <x:f>D4*((Assumptions!$C$6+Assumptions!$C$7)/2)*Assumptions!$C$10</x:f>
        <x:v>5472878400.000001</x:v>
      </x:c>
      <x:c r="E8" s="97" t="n">
        <x:f>E4*((Assumptions!$C$6+Assumptions!$C$7)/2)*Assumptions!$C$10</x:f>
        <x:v>8209317600.000001</x:v>
      </x:c>
      <x:c r="F8" s="97" t="n">
        <x:f>F4*((Assumptions!$C$6+Assumptions!$C$7)/2)*Assumptions!$C$10</x:f>
        <x:v>10945756800.000002</x:v>
      </x:c>
      <x:c r="G8" s="97" t="n">
        <x:f>G4*((Assumptions!$C$6+Assumptions!$C$7)/2)*Assumptions!$C$10</x:f>
        <x:v>13682196000</x:v>
      </x:c>
      <x:c r="H8" s="97" t="n">
        <x:f>H4*((Assumptions!$C$6+Assumptions!$C$7)/2)*Assumptions!$C$10</x:f>
        <x:v>16418635199.999998</x:v>
      </x:c>
      <x:c r="I8" s="97" t="n">
        <x:f>I4*((Assumptions!$C$6+Assumptions!$C$7)/2)*Assumptions!$C$10</x:f>
        <x:v>19155074399.999996</x:v>
      </x:c>
      <x:c r="J8" s="97" t="n">
        <x:f>J4*((Assumptions!$C$6+Assumptions!$C$7)/2)*Assumptions!$C$10</x:f>
        <x:v>21891513599.999996</x:v>
      </x:c>
      <x:c r="K8" s="97" t="n">
        <x:f>K4*((Assumptions!$C$6+Assumptions!$C$7)/2)*Assumptions!$C$10</x:f>
        <x:v>24627952800</x:v>
      </x:c>
      <x:c r="L8" s="97" t="n">
        <x:f>L4*((Assumptions!$C$6+Assumptions!$C$7)/2)*Assumptions!$C$10</x:f>
        <x:v>27364391999.999992</x:v>
      </x:c>
      <x:c r="M8" s="97" t="n">
        <x:f>M4*((Assumptions!$C$6+Assumptions!$C$7)/2)*Assumptions!$C$10</x:f>
        <x:v>30100831200</x:v>
      </x:c>
      <x:c r="N8" s="97" t="n">
        <x:f>N4*((Assumptions!$C$6+Assumptions!$C$7)/2)*Assumptions!$C$10</x:f>
        <x:v>32837270399.999996</x:v>
      </x:c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1" t="str">
        <x:v>Annual Cash-in</x:v>
      </x:c>
      <x:c r="B9" s="71" t="str">
        <x:v>New Paid * Annual Price * Annual Mix</x:v>
      </x:c>
      <x:c r="C9" s="97" t="n">
        <x:f>Funnel!C8*Assumptions!$C$10*Assumptions!$C$12</x:f>
        <x:v>70567.2</x:v>
      </x:c>
      <x:c r="D9" s="97" t="n">
        <x:f>Funnel!D8*Assumptions!$C$10*Assumptions!$C$12</x:f>
        <x:v>70567.2</x:v>
      </x:c>
      <x:c r="E9" s="97" t="n">
        <x:f>Funnel!E8*Assumptions!$C$10*Assumptions!$C$12</x:f>
        <x:v>70567.2</x:v>
      </x:c>
      <x:c r="F9" s="97" t="n">
        <x:f>Funnel!F8*Assumptions!$C$10*Assumptions!$C$12</x:f>
        <x:v>70567.2</x:v>
      </x:c>
      <x:c r="G9" s="97" t="n">
        <x:f>Funnel!G8*Assumptions!$C$10*Assumptions!$C$12</x:f>
        <x:v>70567.2</x:v>
      </x:c>
      <x:c r="H9" s="97" t="n">
        <x:f>Funnel!H8*Assumptions!$C$10*Assumptions!$C$12</x:f>
        <x:v>70567.2</x:v>
      </x:c>
      <x:c r="I9" s="97" t="n">
        <x:f>Funnel!I8*Assumptions!$C$10*Assumptions!$C$12</x:f>
        <x:v>70567.2</x:v>
      </x:c>
      <x:c r="J9" s="97" t="n">
        <x:f>Funnel!J8*Assumptions!$C$10*Assumptions!$C$12</x:f>
        <x:v>70567.2</x:v>
      </x:c>
      <x:c r="K9" s="97" t="n">
        <x:f>Funnel!K8*Assumptions!$C$10*Assumptions!$C$12</x:f>
        <x:v>70567.2</x:v>
      </x:c>
      <x:c r="L9" s="97" t="n">
        <x:f>Funnel!L8*Assumptions!$C$10*Assumptions!$C$12</x:f>
        <x:v>70567.2</x:v>
      </x:c>
      <x:c r="M9" s="97" t="n">
        <x:f>Funnel!M8*Assumptions!$C$10*Assumptions!$C$12</x:f>
        <x:v>70567.2</x:v>
      </x:c>
      <x:c r="N9" s="97" t="n">
        <x:f>Funnel!N8*Assumptions!$C$10*Assumptions!$C$12</x:f>
        <x:v>70567.2</x:v>
      </x:c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 t="str">
        <x:v>Total Cash-in</x:v>
      </x:c>
      <x:c r="B10" s="71" t="str">
        <x:v>Season + Monthly + Annual cash-in</x:v>
      </x:c>
      <x:c r="C10" s="97" t="n">
        <x:f>SUM(C7:C9)</x:f>
        <x:v>2736531079.92</x:v>
      </x:c>
      <x:c r="D10" s="97" t="n">
        <x:f>SUM(D7:D9)</x:f>
        <x:v>5472970279.920001</x:v>
      </x:c>
      <x:c r="E10" s="97" t="n">
        <x:f>SUM(E7:E9)</x:f>
        <x:v>8209409479.920001</x:v>
      </x:c>
      <x:c r="F10" s="97" t="n">
        <x:f>SUM(F7:F9)</x:f>
        <x:v>10945848679.920002</x:v>
      </x:c>
      <x:c r="G10" s="97" t="n">
        <x:f>SUM(G7:G9)</x:f>
        <x:v>13682287879.92</x:v>
      </x:c>
      <x:c r="H10" s="97" t="n">
        <x:f>SUM(H7:H9)</x:f>
        <x:v>16418727079.919998</x:v>
      </x:c>
      <x:c r="I10" s="97" t="n">
        <x:f>SUM(I7:I9)</x:f>
        <x:v>19155166279.92</x:v>
      </x:c>
      <x:c r="J10" s="97" t="n">
        <x:f>SUM(J7:J9)</x:f>
        <x:v>21891605479.92</x:v>
      </x:c>
      <x:c r="K10" s="97" t="n">
        <x:f>SUM(K7:K9)</x:f>
        <x:v>24628044679.920002</x:v>
      </x:c>
      <x:c r="L10" s="97" t="n">
        <x:f>SUM(L7:L9)</x:f>
        <x:v>27364483879.919994</x:v>
      </x:c>
      <x:c r="M10" s="97" t="n">
        <x:f>SUM(M7:M9)</x:f>
        <x:v>30100923079.920002</x:v>
      </x:c>
      <x:c r="N10" s="97" t="n">
        <x:f>SUM(N7:N9)</x:f>
        <x:v>32837362279.92</x:v>
      </x:c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 t="str">
        <x:v>ARR Run-rate</x:v>
      </x:c>
      <x:c r="B11" s="71" t="str">
        <x:v>Recognized Revenue * 12</x:v>
      </x:c>
      <x:c r="C11" s="97" t="n">
        <x:f>C6*12</x:f>
        <x:v>131155.2</x:v>
      </x:c>
      <x:c r="D11" s="97" t="n">
        <x:f>D6*12</x:f>
        <x:v>262310.4</x:v>
      </x:c>
      <x:c r="E11" s="97" t="n">
        <x:f>E6*12</x:f>
        <x:v>393465.60000000003</x:v>
      </x:c>
      <x:c r="F11" s="97" t="n">
        <x:f>F6*12</x:f>
        <x:v>524620.8</x:v>
      </x:c>
      <x:c r="G11" s="97" t="n">
        <x:f>G6*12</x:f>
        <x:v>655776</x:v>
      </x:c>
      <x:c r="H11" s="97" t="n">
        <x:f>H6*12</x:f>
        <x:v>786931.2</x:v>
      </x:c>
      <x:c r="I11" s="97" t="n">
        <x:f>I6*12</x:f>
        <x:v>918086.3999999999</x:v>
      </x:c>
      <x:c r="J11" s="97" t="n">
        <x:f>J6*12</x:f>
        <x:v>1049241.5999999999</x:v>
      </x:c>
      <x:c r="K11" s="97" t="n">
        <x:f>K6*12</x:f>
        <x:v>1180396.7999999998</x:v>
      </x:c>
      <x:c r="L11" s="97" t="n">
        <x:f>L6*12</x:f>
        <x:v>1311551.9999999998</x:v>
      </x:c>
      <x:c r="M11" s="97" t="n">
        <x:f>M6*12</x:f>
        <x:v>1442707.2</x:v>
      </x:c>
      <x:c r="N11" s="97" t="n">
        <x:f>N6*12</x:f>
        <x:v>1573862.4</x:v>
      </x:c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 t="str">
        <x:v>ARPU на регистрацию</x:v>
      </x:c>
      <x:c r="B12" s="71" t="str">
        <x:v>Revenue / Registrations</x:v>
      </x:c>
      <x:c r="C12" s="97" t="n">
        <x:f>IFERROR(C6/Funnel!C6,0)</x:f>
        <x:v>759.0000000000001</x:v>
      </x:c>
      <x:c r="D12" s="97" t="n">
        <x:f>IFERROR(D6/Funnel!D6,0)</x:f>
        <x:v>1518.0000000000002</x:v>
      </x:c>
      <x:c r="E12" s="97" t="n">
        <x:f>IFERROR(E6/Funnel!E6,0)</x:f>
        <x:v>2277.0000000000005</x:v>
      </x:c>
      <x:c r="F12" s="97" t="n">
        <x:f>IFERROR(F6/Funnel!F6,0)</x:f>
        <x:v>3036.0000000000005</x:v>
      </x:c>
      <x:c r="G12" s="97" t="n">
        <x:f>IFERROR(G6/Funnel!G6,0)</x:f>
        <x:v>3795.0000000000005</x:v>
      </x:c>
      <x:c r="H12" s="97" t="n">
        <x:f>IFERROR(H6/Funnel!H6,0)</x:f>
        <x:v>4554</x:v>
      </x:c>
      <x:c r="I12" s="97" t="n">
        <x:f>IFERROR(I6/Funnel!I6,0)</x:f>
        <x:v>5313</x:v>
      </x:c>
      <x:c r="J12" s="97" t="n">
        <x:f>IFERROR(J6/Funnel!J6,0)</x:f>
        <x:v>6072</x:v>
      </x:c>
      <x:c r="K12" s="97" t="n">
        <x:f>IFERROR(K6/Funnel!K6,0)</x:f>
        <x:v>6831</x:v>
      </x:c>
      <x:c r="L12" s="97" t="n">
        <x:f>IFERROR(L6/Funnel!L6,0)</x:f>
        <x:v>7590</x:v>
      </x:c>
      <x:c r="M12" s="97" t="n">
        <x:f>IFERROR(M6/Funnel!M6,0)</x:f>
        <x:v>8349</x:v>
      </x:c>
      <x:c r="N12" s="97" t="n">
        <x:f>IFERROR(N6/Funnel!N6,0)</x:f>
        <x:v>9108</x:v>
      </x:c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 t="str">
        <x:v>ARPPU</x:v>
      </x:c>
      <x:c r="B13" s="71" t="str">
        <x:v>Recognized Revenue / Active Paid</x:v>
      </x:c>
      <x:c r="C13" s="97" t="n">
        <x:f>IFERROR(C6/C4,0)</x:f>
        <x:v>6900</x:v>
      </x:c>
      <x:c r="D13" s="97" t="n">
        <x:f>IFERROR(D6/D4,0)</x:f>
        <x:v>6900</x:v>
      </x:c>
      <x:c r="E13" s="97" t="n">
        <x:f>IFERROR(E6/E4,0)</x:f>
        <x:v>6900</x:v>
      </x:c>
      <x:c r="F13" s="97" t="n">
        <x:f>IFERROR(F6/F4,0)</x:f>
        <x:v>6900</x:v>
      </x:c>
      <x:c r="G13" s="97" t="n">
        <x:f>IFERROR(G6/G4,0)</x:f>
        <x:v>6900</x:v>
      </x:c>
      <x:c r="H13" s="97" t="n">
        <x:f>IFERROR(H6/H4,0)</x:f>
        <x:v>6899.999999999999</x:v>
      </x:c>
      <x:c r="I13" s="97" t="n">
        <x:f>IFERROR(I6/I4,0)</x:f>
        <x:v>6900</x:v>
      </x:c>
      <x:c r="J13" s="97" t="n">
        <x:f>IFERROR(J6/J4,0)</x:f>
        <x:v>6900</x:v>
      </x:c>
      <x:c r="K13" s="97" t="n">
        <x:f>IFERROR(K6/K4,0)</x:f>
        <x:v>6900</x:v>
      </x:c>
      <x:c r="L13" s="97" t="n">
        <x:f>IFERROR(L6/L4,0)</x:f>
        <x:v>6900</x:v>
      </x:c>
      <x:c r="M13" s="97" t="n">
        <x:f>IFERROR(M6/M4,0)</x:f>
        <x:v>6900</x:v>
      </x:c>
      <x:c r="N13" s="97" t="n">
        <x:f>IFERROR(N6/N4,0)</x:f>
        <x:v>6899.999999999999</x:v>
      </x:c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0699a497c2c45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70" t="str">
        <x:v>Затраты: COGS, маркетинг, продажи, операционные расходы и burn rate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Метрика</x:v>
      </x:c>
      <x:c r="B3" s="72" t="str">
        <x:v>Формула / логика</x:v>
      </x:c>
      <x:c r="C3" s="72" t="str">
        <x:v>Месяц 1</x:v>
      </x:c>
      <x:c r="D3" s="72" t="str">
        <x:v>Месяц 2</x:v>
      </x:c>
      <x:c r="E3" s="72" t="str">
        <x:v>Месяц 3</x:v>
      </x:c>
      <x:c r="F3" s="72" t="str">
        <x:v>Месяц 4</x:v>
      </x:c>
      <x:c r="G3" s="72" t="str">
        <x:v>Месяц 5</x:v>
      </x:c>
      <x:c r="H3" s="72" t="str">
        <x:v>Месяц 6</x:v>
      </x:c>
      <x:c r="I3" s="72" t="str">
        <x:v>Месяц 7</x:v>
      </x:c>
      <x:c r="J3" s="72" t="str">
        <x:v>Месяц 8</x:v>
      </x:c>
      <x:c r="K3" s="72" t="str">
        <x:v>Месяц 9</x:v>
      </x:c>
      <x:c r="L3" s="72" t="str">
        <x:v>Месяц 10</x:v>
      </x:c>
      <x:c r="M3" s="72" t="str">
        <x:v>Месяц 11</x:v>
      </x:c>
      <x:c r="N3" s="72" t="str">
        <x:v>Месяц 12</x:v>
      </x:c>
      <x:c r="O3" s="72" t="str">
        <x:v>Итого / среднее</x:v>
      </x:c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1" t="str">
        <x:v>Revenue recognized</x:v>
      </x:c>
      <x:c r="B4" s="71" t="str">
        <x:v>из Revenue</x:v>
      </x:c>
      <x:c r="C4" s="97" t="n">
        <x:f>Revenue!C6</x:f>
        <x:v>10929.6</x:v>
      </x:c>
      <x:c r="D4" s="97" t="n">
        <x:f>Revenue!D6</x:f>
        <x:v>21859.2</x:v>
      </x:c>
      <x:c r="E4" s="97" t="n">
        <x:f>Revenue!E6</x:f>
        <x:v>32788.8</x:v>
      </x:c>
      <x:c r="F4" s="97" t="n">
        <x:f>Revenue!F6</x:f>
        <x:v>43718.4</x:v>
      </x:c>
      <x:c r="G4" s="97" t="n">
        <x:f>Revenue!G6</x:f>
        <x:v>54648</x:v>
      </x:c>
      <x:c r="H4" s="97" t="n">
        <x:f>Revenue!H6</x:f>
        <x:v>65577.59999999999</x:v>
      </x:c>
      <x:c r="I4" s="97" t="n">
        <x:f>Revenue!I6</x:f>
        <x:v>76507.2</x:v>
      </x:c>
      <x:c r="J4" s="97" t="n">
        <x:f>Revenue!J6</x:f>
        <x:v>87436.79999999999</x:v>
      </x:c>
      <x:c r="K4" s="97" t="n">
        <x:f>Revenue!K6</x:f>
        <x:v>98366.4</x:v>
      </x:c>
      <x:c r="L4" s="97" t="n">
        <x:f>Revenue!L6</x:f>
        <x:v>109295.99999999999</x:v>
      </x:c>
      <x:c r="M4" s="97" t="n">
        <x:f>Revenue!M6</x:f>
        <x:v>120225.59999999999</x:v>
      </x:c>
      <x:c r="N4" s="97" t="n">
        <x:f>Revenue!N6</x:f>
        <x:v>131155.19999999998</x:v>
      </x:c>
      <x:c r="O4" s="97" t="n">
        <x:f>SUM(C4:N4)</x:f>
        <x:v>852508.7999999999</x:v>
      </x:c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1" t="str">
        <x:v>Payment processing fees</x:v>
      </x:c>
      <x:c r="B5" s="71" t="str">
        <x:v>Revenue * processing %</x:v>
      </x:c>
      <x:c r="C5" s="97" t="n">
        <x:f>C4*Assumptions!$C$23</x:f>
        <x:v>327.888</x:v>
      </x:c>
      <x:c r="D5" s="97" t="n">
        <x:f>D4*Assumptions!$C$23</x:f>
        <x:v>655.776</x:v>
      </x:c>
      <x:c r="E5" s="97" t="n">
        <x:f>E4*Assumptions!$C$23</x:f>
        <x:v>983.6640000000001</x:v>
      </x:c>
      <x:c r="F5" s="97" t="n">
        <x:f>F4*Assumptions!$C$23</x:f>
        <x:v>1311.552</x:v>
      </x:c>
      <x:c r="G5" s="97" t="n">
        <x:f>G4*Assumptions!$C$23</x:f>
        <x:v>1639.4399999999998</x:v>
      </x:c>
      <x:c r="H5" s="97" t="n">
        <x:f>H4*Assumptions!$C$23</x:f>
        <x:v>1967.3279999999997</x:v>
      </x:c>
      <x:c r="I5" s="97" t="n">
        <x:f>I4*Assumptions!$C$23</x:f>
        <x:v>2295.216</x:v>
      </x:c>
      <x:c r="J5" s="97" t="n">
        <x:f>J4*Assumptions!$C$23</x:f>
        <x:v>2623.1039999999994</x:v>
      </x:c>
      <x:c r="K5" s="97" t="n">
        <x:f>K4*Assumptions!$C$23</x:f>
        <x:v>2950.9919999999997</x:v>
      </x:c>
      <x:c r="L5" s="97" t="n">
        <x:f>L4*Assumptions!$C$23</x:f>
        <x:v>3278.8799999999997</x:v>
      </x:c>
      <x:c r="M5" s="97" t="n">
        <x:f>M4*Assumptions!$C$23</x:f>
        <x:v>3606.7679999999996</x:v>
      </x:c>
      <x:c r="N5" s="97" t="n">
        <x:f>N4*Assumptions!$C$23</x:f>
        <x:v>3934.6559999999995</x:v>
      </x:c>
      <x:c r="O5" s="97" t="n">
        <x:f>SUM(C5:N5)</x:f>
        <x:v>25575.264</x:v>
      </x:c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1" t="str">
        <x:v>Hosting cost</x:v>
      </x:c>
      <x:c r="B6" s="71" t="str">
        <x:v>Active Paid * hosting/customer</x:v>
      </x:c>
      <x:c r="C6" s="97" t="n">
        <x:f>Funnel!C9*Assumptions!$C$24</x:f>
        <x:v>475.20000000000005</x:v>
      </x:c>
      <x:c r="D6" s="97" t="n">
        <x:f>Funnel!D9*Assumptions!$C$24</x:f>
        <x:v>950.4000000000001</x:v>
      </x:c>
      <x:c r="E6" s="97" t="n">
        <x:f>Funnel!E9*Assumptions!$C$24</x:f>
        <x:v>1425.6000000000001</x:v>
      </x:c>
      <x:c r="F6" s="97" t="n">
        <x:f>Funnel!F9*Assumptions!$C$24</x:f>
        <x:v>1900.8000000000002</x:v>
      </x:c>
      <x:c r="G6" s="97" t="n">
        <x:f>Funnel!G9*Assumptions!$C$24</x:f>
        <x:v>2376</x:v>
      </x:c>
      <x:c r="H6" s="97" t="n">
        <x:f>Funnel!H9*Assumptions!$C$24</x:f>
        <x:v>2851.2</x:v>
      </x:c>
      <x:c r="I6" s="97" t="n">
        <x:f>Funnel!I9*Assumptions!$C$24</x:f>
        <x:v>3326.3999999999996</x:v>
      </x:c>
      <x:c r="J6" s="97" t="n">
        <x:f>Funnel!J9*Assumptions!$C$24</x:f>
        <x:v>3801.5999999999995</x:v>
      </x:c>
      <x:c r="K6" s="97" t="n">
        <x:f>Funnel!K9*Assumptions!$C$24</x:f>
        <x:v>4276.799999999999</x:v>
      </x:c>
      <x:c r="L6" s="97" t="n">
        <x:f>Funnel!L9*Assumptions!$C$24</x:f>
        <x:v>4751.999999999999</x:v>
      </x:c>
      <x:c r="M6" s="97" t="n">
        <x:f>Funnel!M9*Assumptions!$C$24</x:f>
        <x:v>5227.2</x:v>
      </x:c>
      <x:c r="N6" s="97" t="n">
        <x:f>Funnel!N9*Assumptions!$C$24</x:f>
        <x:v>5702.4</x:v>
      </x:c>
      <x:c r="O6" s="97" t="n">
        <x:f>SUM(C6:N6)</x:f>
        <x:v>37065.6</x:v>
      </x:c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1" t="str">
        <x:v>Support cost</x:v>
      </x:c>
      <x:c r="B7" s="71" t="str">
        <x:v>Active Paid * support hours * support hour cost</x:v>
      </x:c>
      <x:c r="C7" s="97" t="n">
        <x:f>Funnel!C9*Assumptions!$C$25*Assumptions!$C$26</x:f>
        <x:v>1900.8000000000002</x:v>
      </x:c>
      <x:c r="D7" s="97" t="n">
        <x:f>Funnel!D9*Assumptions!$C$25*Assumptions!$C$26</x:f>
        <x:v>3801.6000000000004</x:v>
      </x:c>
      <x:c r="E7" s="97" t="n">
        <x:f>Funnel!E9*Assumptions!$C$25*Assumptions!$C$26</x:f>
        <x:v>5702.400000000001</x:v>
      </x:c>
      <x:c r="F7" s="97" t="n">
        <x:f>Funnel!F9*Assumptions!$C$25*Assumptions!$C$26</x:f>
        <x:v>7603.200000000001</x:v>
      </x:c>
      <x:c r="G7" s="97" t="n">
        <x:f>Funnel!G9*Assumptions!$C$25*Assumptions!$C$26</x:f>
        <x:v>9504</x:v>
      </x:c>
      <x:c r="H7" s="97" t="n">
        <x:f>Funnel!H9*Assumptions!$C$25*Assumptions!$C$26</x:f>
        <x:v>11404.8</x:v>
      </x:c>
      <x:c r="I7" s="97" t="n">
        <x:f>Funnel!I9*Assumptions!$C$25*Assumptions!$C$26</x:f>
        <x:v>13305.599999999999</x:v>
      </x:c>
      <x:c r="J7" s="97" t="n">
        <x:f>Funnel!J9*Assumptions!$C$25*Assumptions!$C$26</x:f>
        <x:v>15206.4</x:v>
      </x:c>
      <x:c r="K7" s="97" t="n">
        <x:f>Funnel!K9*Assumptions!$C$25*Assumptions!$C$26</x:f>
        <x:v>17107.199999999997</x:v>
      </x:c>
      <x:c r="L7" s="97" t="n">
        <x:f>Funnel!L9*Assumptions!$C$25*Assumptions!$C$26</x:f>
        <x:v>19008</x:v>
      </x:c>
      <x:c r="M7" s="97" t="n">
        <x:f>Funnel!M9*Assumptions!$C$25*Assumptions!$C$26</x:f>
        <x:v>20908.8</x:v>
      </x:c>
      <x:c r="N7" s="97" t="n">
        <x:f>Funnel!N9*Assumptions!$C$25*Assumptions!$C$26</x:f>
        <x:v>22809.6</x:v>
      </x:c>
      <x:c r="O7" s="97" t="n">
        <x:f>SUM(C7:N7)</x:f>
        <x:v>148262.4</x:v>
      </x:c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1" t="str">
        <x:v>Total COGS</x:v>
      </x:c>
      <x:c r="B8" s="71" t="str">
        <x:v>Payment + Hosting + Support</x:v>
      </x:c>
      <x:c r="C8" s="97" t="n">
        <x:f>SUM(C5:C7)</x:f>
        <x:v>2703.888</x:v>
      </x:c>
      <x:c r="D8" s="97" t="n">
        <x:f>SUM(D5:D7)</x:f>
        <x:v>5407.776</x:v>
      </x:c>
      <x:c r="E8" s="97" t="n">
        <x:f>SUM(E5:E7)</x:f>
        <x:v>8111.664000000001</x:v>
      </x:c>
      <x:c r="F8" s="97" t="n">
        <x:f>SUM(F5:F7)</x:f>
        <x:v>10815.552</x:v>
      </x:c>
      <x:c r="G8" s="97" t="n">
        <x:f>SUM(G5:G7)</x:f>
        <x:v>13519.439999999999</x:v>
      </x:c>
      <x:c r="H8" s="97" t="n">
        <x:f>SUM(H5:H7)</x:f>
        <x:v>16223.327999999998</x:v>
      </x:c>
      <x:c r="I8" s="97" t="n">
        <x:f>SUM(I5:I7)</x:f>
        <x:v>18927.216</x:v>
      </x:c>
      <x:c r="J8" s="97" t="n">
        <x:f>SUM(J5:J7)</x:f>
        <x:v>21631.104</x:v>
      </x:c>
      <x:c r="K8" s="97" t="n">
        <x:f>SUM(K5:K7)</x:f>
        <x:v>24334.992</x:v>
      </x:c>
      <x:c r="L8" s="97" t="n">
        <x:f>SUM(L5:L7)</x:f>
        <x:v>27038.879999999997</x:v>
      </x:c>
      <x:c r="M8" s="97" t="n">
        <x:f>SUM(M5:M7)</x:f>
        <x:v>29742.767999999996</x:v>
      </x:c>
      <x:c r="N8" s="97" t="n">
        <x:f>SUM(N5:N7)</x:f>
        <x:v>32446.655999999995</x:v>
      </x:c>
      <x:c r="O8" s="97" t="n">
        <x:f>SUM(C8:N8)</x:f>
        <x:v>210903.264</x:v>
      </x:c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1" t="str">
        <x:v>Gross Profit</x:v>
      </x:c>
      <x:c r="B9" s="71" t="str">
        <x:v>Revenue - COGS</x:v>
      </x:c>
      <x:c r="C9" s="97" t="n">
        <x:f>C4-C8</x:f>
        <x:v>8225.712</x:v>
      </x:c>
      <x:c r="D9" s="97" t="n">
        <x:f>D4-D8</x:f>
        <x:v>16451.424</x:v>
      </x:c>
      <x:c r="E9" s="97" t="n">
        <x:f>E4-E8</x:f>
        <x:v>24677.136000000002</x:v>
      </x:c>
      <x:c r="F9" s="97" t="n">
        <x:f>F4-F8</x:f>
        <x:v>32902.848</x:v>
      </x:c>
      <x:c r="G9" s="97" t="n">
        <x:f>G4-G8</x:f>
        <x:v>41128.56</x:v>
      </x:c>
      <x:c r="H9" s="97" t="n">
        <x:f>H4-H8</x:f>
        <x:v>49354.272</x:v>
      </x:c>
      <x:c r="I9" s="97" t="n">
        <x:f>I4-I8</x:f>
        <x:v>57579.984</x:v>
      </x:c>
      <x:c r="J9" s="97" t="n">
        <x:f>J4-J8</x:f>
        <x:v>65805.696</x:v>
      </x:c>
      <x:c r="K9" s="97" t="n">
        <x:f>K4-K8</x:f>
        <x:v>74031.408</x:v>
      </x:c>
      <x:c r="L9" s="97" t="n">
        <x:f>L4-L8</x:f>
        <x:v>82257.12</x:v>
      </x:c>
      <x:c r="M9" s="97" t="n">
        <x:f>M4-M8</x:f>
        <x:v>90482.832</x:v>
      </x:c>
      <x:c r="N9" s="97" t="n">
        <x:f>N4-N8</x:f>
        <x:v>98708.544</x:v>
      </x:c>
      <x:c r="O9" s="97" t="n">
        <x:f>SUM(C9:N9)</x:f>
        <x:v>641605.536</x:v>
      </x:c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 t="str">
        <x:v>Marketing Spend</x:v>
      </x:c>
      <x:c r="B10" s="71" t="str">
        <x:v>Сценарий</x:v>
      </x:c>
      <x:c r="C10" s="97" t="n">
        <x:f>Scenarios!$H$11</x:f>
        <x:v>120000</x:v>
      </x:c>
      <x:c r="D10" s="97" t="n">
        <x:f>Scenarios!$H$11</x:f>
        <x:v>120000</x:v>
      </x:c>
      <x:c r="E10" s="97" t="n">
        <x:f>Scenarios!$H$11</x:f>
        <x:v>120000</x:v>
      </x:c>
      <x:c r="F10" s="97" t="n">
        <x:f>Scenarios!$H$11</x:f>
        <x:v>120000</x:v>
      </x:c>
      <x:c r="G10" s="97" t="n">
        <x:f>Scenarios!$H$11</x:f>
        <x:v>120000</x:v>
      </x:c>
      <x:c r="H10" s="97" t="n">
        <x:f>Scenarios!$H$11</x:f>
        <x:v>120000</x:v>
      </x:c>
      <x:c r="I10" s="97" t="n">
        <x:f>Scenarios!$H$11</x:f>
        <x:v>120000</x:v>
      </x:c>
      <x:c r="J10" s="97" t="n">
        <x:f>Scenarios!$H$11</x:f>
        <x:v>120000</x:v>
      </x:c>
      <x:c r="K10" s="97" t="n">
        <x:f>Scenarios!$H$11</x:f>
        <x:v>120000</x:v>
      </x:c>
      <x:c r="L10" s="97" t="n">
        <x:f>Scenarios!$H$11</x:f>
        <x:v>120000</x:v>
      </x:c>
      <x:c r="M10" s="97" t="n">
        <x:f>Scenarios!$H$11</x:f>
        <x:v>120000</x:v>
      </x:c>
      <x:c r="N10" s="97" t="n">
        <x:f>Scenarios!$H$11</x:f>
        <x:v>120000</x:v>
      </x:c>
      <x:c r="O10" s="97" t="n">
        <x:f>SUM(C10:N10)</x:f>
        <x:v>1440000</x:v>
      </x:c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 t="str">
        <x:v>Sales Cost</x:v>
      </x:c>
      <x:c r="B11" s="71" t="str">
        <x:v>Сценарий</x:v>
      </x:c>
      <x:c r="C11" s="97" t="n">
        <x:f>Scenarios!$H$12</x:f>
        <x:v>60000</x:v>
      </x:c>
      <x:c r="D11" s="97" t="n">
        <x:f>Scenarios!$H$12</x:f>
        <x:v>60000</x:v>
      </x:c>
      <x:c r="E11" s="97" t="n">
        <x:f>Scenarios!$H$12</x:f>
        <x:v>60000</x:v>
      </x:c>
      <x:c r="F11" s="97" t="n">
        <x:f>Scenarios!$H$12</x:f>
        <x:v>60000</x:v>
      </x:c>
      <x:c r="G11" s="97" t="n">
        <x:f>Scenarios!$H$12</x:f>
        <x:v>60000</x:v>
      </x:c>
      <x:c r="H11" s="97" t="n">
        <x:f>Scenarios!$H$12</x:f>
        <x:v>60000</x:v>
      </x:c>
      <x:c r="I11" s="97" t="n">
        <x:f>Scenarios!$H$12</x:f>
        <x:v>60000</x:v>
      </x:c>
      <x:c r="J11" s="97" t="n">
        <x:f>Scenarios!$H$12</x:f>
        <x:v>60000</x:v>
      </x:c>
      <x:c r="K11" s="97" t="n">
        <x:f>Scenarios!$H$12</x:f>
        <x:v>60000</x:v>
      </x:c>
      <x:c r="L11" s="97" t="n">
        <x:f>Scenarios!$H$12</x:f>
        <x:v>60000</x:v>
      </x:c>
      <x:c r="M11" s="97" t="n">
        <x:f>Scenarios!$H$12</x:f>
        <x:v>60000</x:v>
      </x:c>
      <x:c r="N11" s="97" t="n">
        <x:f>Scenarios!$H$12</x:f>
        <x:v>60000</x:v>
      </x:c>
      <x:c r="O11" s="97" t="n">
        <x:f>SUM(C11:N11)</x:f>
        <x:v>720000</x:v>
      </x:c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 t="str">
        <x:v>Fixed Team Cost</x:v>
      </x:c>
      <x:c r="B12" s="71" t="str">
        <x:v>Сценарий</x:v>
      </x:c>
      <x:c r="C12" s="97" t="n">
        <x:f>Scenarios!$H$13</x:f>
        <x:v>300000</x:v>
      </x:c>
      <x:c r="D12" s="97" t="n">
        <x:f>Scenarios!$H$13</x:f>
        <x:v>300000</x:v>
      </x:c>
      <x:c r="E12" s="97" t="n">
        <x:f>Scenarios!$H$13</x:f>
        <x:v>300000</x:v>
      </x:c>
      <x:c r="F12" s="97" t="n">
        <x:f>Scenarios!$H$13</x:f>
        <x:v>300000</x:v>
      </x:c>
      <x:c r="G12" s="97" t="n">
        <x:f>Scenarios!$H$13</x:f>
        <x:v>300000</x:v>
      </x:c>
      <x:c r="H12" s="97" t="n">
        <x:f>Scenarios!$H$13</x:f>
        <x:v>300000</x:v>
      </x:c>
      <x:c r="I12" s="97" t="n">
        <x:f>Scenarios!$H$13</x:f>
        <x:v>300000</x:v>
      </x:c>
      <x:c r="J12" s="97" t="n">
        <x:f>Scenarios!$H$13</x:f>
        <x:v>300000</x:v>
      </x:c>
      <x:c r="K12" s="97" t="n">
        <x:f>Scenarios!$H$13</x:f>
        <x:v>300000</x:v>
      </x:c>
      <x:c r="L12" s="97" t="n">
        <x:f>Scenarios!$H$13</x:f>
        <x:v>300000</x:v>
      </x:c>
      <x:c r="M12" s="97" t="n">
        <x:f>Scenarios!$H$13</x:f>
        <x:v>300000</x:v>
      </x:c>
      <x:c r="N12" s="97" t="n">
        <x:f>Scenarios!$H$13</x:f>
        <x:v>300000</x:v>
      </x:c>
      <x:c r="O12" s="97" t="n">
        <x:f>SUM(C12:N12)</x:f>
        <x:v>3600000</x:v>
      </x:c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 t="str">
        <x:v>Tools &amp; Admin</x:v>
      </x:c>
      <x:c r="B13" s="71" t="str">
        <x:v>Assumptions</x:v>
      </x:c>
      <x:c r="C13" s="97" t="n">
        <x:f>Assumptions!$C$30</x:f>
        <x:v>40000</x:v>
      </x:c>
      <x:c r="D13" s="97" t="n">
        <x:f>Assumptions!$C$30</x:f>
        <x:v>40000</x:v>
      </x:c>
      <x:c r="E13" s="97" t="n">
        <x:f>Assumptions!$C$30</x:f>
        <x:v>40000</x:v>
      </x:c>
      <x:c r="F13" s="97" t="n">
        <x:f>Assumptions!$C$30</x:f>
        <x:v>40000</x:v>
      </x:c>
      <x:c r="G13" s="97" t="n">
        <x:f>Assumptions!$C$30</x:f>
        <x:v>40000</x:v>
      </x:c>
      <x:c r="H13" s="97" t="n">
        <x:f>Assumptions!$C$30</x:f>
        <x:v>40000</x:v>
      </x:c>
      <x:c r="I13" s="97" t="n">
        <x:f>Assumptions!$C$30</x:f>
        <x:v>40000</x:v>
      </x:c>
      <x:c r="J13" s="97" t="n">
        <x:f>Assumptions!$C$30</x:f>
        <x:v>40000</x:v>
      </x:c>
      <x:c r="K13" s="97" t="n">
        <x:f>Assumptions!$C$30</x:f>
        <x:v>40000</x:v>
      </x:c>
      <x:c r="L13" s="97" t="n">
        <x:f>Assumptions!$C$30</x:f>
        <x:v>40000</x:v>
      </x:c>
      <x:c r="M13" s="97" t="n">
        <x:f>Assumptions!$C$30</x:f>
        <x:v>40000</x:v>
      </x:c>
      <x:c r="N13" s="97" t="n">
        <x:f>Assumptions!$C$30</x:f>
        <x:v>40000</x:v>
      </x:c>
      <x:c r="O13" s="97" t="n">
        <x:f>SUM(C13:N13)</x:f>
        <x:v>480000</x:v>
      </x:c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 t="str">
        <x:v>Total Operating Costs</x:v>
      </x:c>
      <x:c r="B14" s="71" t="str">
        <x:v>Marketing + Sales + Fixed + Tools</x:v>
      </x:c>
      <x:c r="C14" s="97" t="n">
        <x:f>SUM(C10:C13)</x:f>
        <x:v>520000</x:v>
      </x:c>
      <x:c r="D14" s="97" t="n">
        <x:f>SUM(D10:D13)</x:f>
        <x:v>520000</x:v>
      </x:c>
      <x:c r="E14" s="97" t="n">
        <x:f>SUM(E10:E13)</x:f>
        <x:v>520000</x:v>
      </x:c>
      <x:c r="F14" s="97" t="n">
        <x:f>SUM(F10:F13)</x:f>
        <x:v>520000</x:v>
      </x:c>
      <x:c r="G14" s="97" t="n">
        <x:f>SUM(G10:G13)</x:f>
        <x:v>520000</x:v>
      </x:c>
      <x:c r="H14" s="97" t="n">
        <x:f>SUM(H10:H13)</x:f>
        <x:v>520000</x:v>
      </x:c>
      <x:c r="I14" s="97" t="n">
        <x:f>SUM(I10:I13)</x:f>
        <x:v>520000</x:v>
      </x:c>
      <x:c r="J14" s="97" t="n">
        <x:f>SUM(J10:J13)</x:f>
        <x:v>520000</x:v>
      </x:c>
      <x:c r="K14" s="97" t="n">
        <x:f>SUM(K10:K13)</x:f>
        <x:v>520000</x:v>
      </x:c>
      <x:c r="L14" s="97" t="n">
        <x:f>SUM(L10:L13)</x:f>
        <x:v>520000</x:v>
      </x:c>
      <x:c r="M14" s="97" t="n">
        <x:f>SUM(M10:M13)</x:f>
        <x:v>520000</x:v>
      </x:c>
      <x:c r="N14" s="97" t="n">
        <x:f>SUM(N10:N13)</x:f>
        <x:v>520000</x:v>
      </x:c>
      <x:c r="O14" s="97" t="n">
        <x:f>SUM(C14:N14)</x:f>
        <x:v>6240000</x:v>
      </x:c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 t="str">
        <x:v>Burn Rate</x:v>
      </x:c>
      <x:c r="B15" s="71" t="str">
        <x:v>Total Costs - Revenue</x:v>
      </x:c>
      <x:c r="C15" s="97" t="n">
        <x:f>MAX(0,C8+C14-C4)</x:f>
        <x:v>511774.288</x:v>
      </x:c>
      <x:c r="D15" s="97" t="n">
        <x:f>MAX(0,D8+D14-D4)</x:f>
        <x:v>503548.57599999994</x:v>
      </x:c>
      <x:c r="E15" s="97" t="n">
        <x:f>MAX(0,E8+E14-E4)</x:f>
        <x:v>495322.864</x:v>
      </x:c>
      <x:c r="F15" s="97" t="n">
        <x:f>MAX(0,F8+F14-F4)</x:f>
        <x:v>487097.152</x:v>
      </x:c>
      <x:c r="G15" s="97" t="n">
        <x:f>MAX(0,G8+G14-G4)</x:f>
        <x:v>478871.43999999994</x:v>
      </x:c>
      <x:c r="H15" s="97" t="n">
        <x:f>MAX(0,H8+H14-H4)</x:f>
        <x:v>470645.728</x:v>
      </x:c>
      <x:c r="I15" s="97" t="n">
        <x:f>MAX(0,I8+I14-I4)</x:f>
        <x:v>462420.016</x:v>
      </x:c>
      <x:c r="J15" s="97" t="n">
        <x:f>MAX(0,J8+J14-J4)</x:f>
        <x:v>454194.30400000006</x:v>
      </x:c>
      <x:c r="K15" s="97" t="n">
        <x:f>MAX(0,K8+K14-K4)</x:f>
        <x:v>445968.59199999995</x:v>
      </x:c>
      <x:c r="L15" s="97" t="n">
        <x:f>MAX(0,L8+L14-L4)</x:f>
        <x:v>437742.88</x:v>
      </x:c>
      <x:c r="M15" s="97" t="n">
        <x:f>MAX(0,M8+M14-M4)</x:f>
        <x:v>429517.16800000006</x:v>
      </x:c>
      <x:c r="N15" s="97" t="n">
        <x:f>MAX(0,N8+N14-N4)</x:f>
        <x:v>421291.456</x:v>
      </x:c>
      <x:c r="O15" s="97" t="n">
        <x:f>AVERAGE(C15:N15)</x:f>
        <x:v>466532.872</x:v>
      </x:c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 t="str">
        <x:v>Contribution Profit</x:v>
      </x:c>
      <x:c r="B16" s="71" t="str">
        <x:v>Gross Profit - Marketing - Sales</x:v>
      </x:c>
      <x:c r="C16" s="97" t="n">
        <x:f>C9-C10-C11</x:f>
        <x:v>-171774.288</x:v>
      </x:c>
      <x:c r="D16" s="97" t="n">
        <x:f>D9-D10-D11</x:f>
        <x:v>-163548.576</x:v>
      </x:c>
      <x:c r="E16" s="97" t="n">
        <x:f>E9-E10-E11</x:f>
        <x:v>-155322.864</x:v>
      </x:c>
      <x:c r="F16" s="97" t="n">
        <x:f>F9-F10-F11</x:f>
        <x:v>-147097.152</x:v>
      </x:c>
      <x:c r="G16" s="97" t="n">
        <x:f>G9-G10-G11</x:f>
        <x:v>-138871.44</x:v>
      </x:c>
      <x:c r="H16" s="97" t="n">
        <x:f>H9-H10-H11</x:f>
        <x:v>-130645.728</x:v>
      </x:c>
      <x:c r="I16" s="97" t="n">
        <x:f>I9-I10-I11</x:f>
        <x:v>-122420.016</x:v>
      </x:c>
      <x:c r="J16" s="97" t="n">
        <x:f>J9-J10-J11</x:f>
        <x:v>-114194.304</x:v>
      </x:c>
      <x:c r="K16" s="97" t="n">
        <x:f>K9-K10-K11</x:f>
        <x:v>-105968.592</x:v>
      </x:c>
      <x:c r="L16" s="97" t="n">
        <x:f>L9-L10-L11</x:f>
        <x:v>-97742.88</x:v>
      </x:c>
      <x:c r="M16" s="97" t="n">
        <x:f>M9-M10-M11</x:f>
        <x:v>-89517.168</x:v>
      </x:c>
      <x:c r="N16" s="97" t="n">
        <x:f>N9-N10-N11</x:f>
        <x:v>-81291.456</x:v>
      </x:c>
      <x:c r="O16" s="97" t="n">
        <x:f>SUM(C16:N16)</x:f>
        <x:v>-1518394.464</x:v>
      </x:c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2bcc709908f41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6" hidden="0" customWidth="1"/>
    <x:col min="5" max="5" width="46" hidden="0" customWidth="1"/>
  </x:cols>
  <x:sheetData>
    <x:row r="1">
      <x:c r="A1" s="70" t="str">
        <x:v>Юнит-экономика Tandora</x:v>
      </x:c>
      <x:c r="B1" s="70"/>
      <x:c r="C1" s="70"/>
      <x:c r="D1" s="70"/>
      <x:c r="E1" s="70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Метрика</x:v>
      </x:c>
      <x:c r="B3" s="72" t="str">
        <x:v>Формула</x:v>
      </x:c>
      <x:c r="C3" s="72" t="str">
        <x:v>Значение</x:v>
      </x:c>
      <x:c r="D3" s="72" t="str">
        <x:v>Единица</x:v>
      </x:c>
      <x:c r="E3" s="72" t="str">
        <x:v>Комментарий</x:v>
      </x:c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1" t="str">
        <x:v>Paid Users</x:v>
      </x:c>
      <x:c r="B4" s="71" t="str">
        <x:v>=Funnel!N9</x:v>
      </x:c>
      <x:c r="C4" s="96" t="n">
        <x:f>Funnel!N9</x:f>
        <x:v>19.008</x:v>
      </x:c>
      <x:c r="D4" s="71" t="str">
        <x:v>клиенты</x:v>
      </x:c>
      <x:c r="E4" s="71" t="str">
        <x:v>Активные платящие клиенты в 12-й месяц</x:v>
      </x:c>
      <x:c r="F4" s="71"/>
      <x:c r="G4" s="71"/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1" t="str">
        <x:v>ARPU</x:v>
      </x:c>
      <x:c r="B5" s="71" t="str">
        <x:v>=IFERROR(SUM(Revenue!C6:N6)/SUM(Funnel!C6:N6),0)</x:v>
      </x:c>
      <x:c r="C5" s="96" t="n">
        <x:f>IFERROR(SUM(Revenue!C6:N6)/SUM(Funnel!C6:N6),0)</x:f>
        <x:v>4933.499999999998</x:v>
      </x:c>
      <x:c r="D5" s="71" t="str">
        <x:v>₽/регистрация</x:v>
      </x:c>
      <x:c r="E5" s="71" t="str">
        <x:v>Выручка на регистрацию</x:v>
      </x:c>
      <x:c r="F5" s="71"/>
      <x:c r="G5" s="71"/>
      <x:c r="H5" s="71"/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1" t="str">
        <x:v>ARPPU</x:v>
      </x:c>
      <x:c r="B6" s="71" t="str">
        <x:v>=AVERAGE(Revenue!C13:N13)</x:v>
      </x:c>
      <x:c r="C6" s="97" t="n">
        <x:f>AVERAGE(Revenue!C13:N13)</x:f>
        <x:v>6900</x:v>
      </x:c>
      <x:c r="D6" s="71" t="str">
        <x:v>₽/платящий/мес</x:v>
      </x:c>
      <x:c r="E6" s="71" t="str">
        <x:v>Средняя выручка на платящего клиента</x:v>
      </x:c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1" t="str">
        <x:v>Revenue</x:v>
      </x:c>
      <x:c r="B7" s="71" t="str">
        <x:v>=SUM(Revenue!C6:N6)</x:v>
      </x:c>
      <x:c r="C7" s="97" t="n">
        <x:f>SUM(Revenue!C6:N6)</x:f>
        <x:v>852508.7999999999</x:v>
      </x:c>
      <x:c r="D7" s="71" t="str">
        <x:v>₽/год</x:v>
      </x:c>
      <x:c r="E7" s="71" t="str">
        <x:v>Признанная годовая выручка</x:v>
      </x:c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1" t="str">
        <x:v>Gross Profit</x:v>
      </x:c>
      <x:c r="B8" s="71" t="str">
        <x:v>=SUM(Costs!C9:N9)</x:v>
      </x:c>
      <x:c r="C8" s="97" t="n">
        <x:f>SUM(Costs!C9:N9)</x:f>
        <x:v>641605.536</x:v>
      </x:c>
      <x:c r="D8" s="71" t="str">
        <x:v>₽/год</x:v>
      </x:c>
      <x:c r="E8" s="71" t="str">
        <x:v>Выручка минус COGS</x:v>
      </x:c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1" t="str">
        <x:v>Gross Margin</x:v>
      </x:c>
      <x:c r="B9" s="71" t="str">
        <x:v>=IFERROR(C8/C7,0)</x:v>
      </x:c>
      <x:c r="C9" s="108" t="n">
        <x:f>IFERROR(C8/C7,0)</x:f>
        <x:v>0.7526086956521739</x:v>
      </x:c>
      <x:c r="D9" s="71" t="str">
        <x:v>%</x:v>
      </x:c>
      <x:c r="E9" s="71" t="str">
        <x:v>Валовая маржа</x:v>
      </x:c>
      <x:c r="F9" s="71"/>
      <x:c r="G9" s="71"/>
      <x:c r="H9" s="71"/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 t="str">
        <x:v>CAC</x:v>
      </x:c>
      <x:c r="B10" s="71" t="str">
        <x:v>=IFERROR((SUM(Costs!C10:N10)+SUM(Costs!C11:N11))/SUM(Funnel!C8:N8),0)</x:v>
      </x:c>
      <x:c r="C10" s="97" t="n">
        <x:f>IFERROR((SUM(Costs!C10:N10)+SUM(Costs!C11:N11))/SUM(Funnel!C8:N8),0)</x:f>
        <x:v>113636.36363636365</x:v>
      </x:c>
      <x:c r="D10" s="71" t="str">
        <x:v>₽/клиент</x:v>
      </x:c>
      <x:c r="E10" s="71" t="str">
        <x:v>Маркетинг + продажи / новые платящие</x:v>
      </x:c>
      <x:c r="F10" s="71"/>
      <x:c r="G10" s="71"/>
      <x:c r="H10" s="71"/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 t="str">
        <x:v>LTV</x:v>
      </x:c>
      <x:c r="B11" s="71" t="str">
        <x:v>=C6*C9/Scenarios!$H$9</x:v>
      </x:c>
      <x:c r="C11" s="97" t="n">
        <x:f>C6*C9/Scenarios!$H$9</x:f>
        <x:v>103860</x:v>
      </x:c>
      <x:c r="D11" s="71" t="str">
        <x:v>₽/клиент</x:v>
      </x:c>
      <x:c r="E11" s="71" t="str">
        <x:v>ARPPU * GM / churn</x:v>
      </x:c>
      <x:c r="F11" s="71"/>
      <x:c r="G11" s="71"/>
      <x:c r="H11" s="71"/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 t="str">
        <x:v>LTV/CAC</x:v>
      </x:c>
      <x:c r="B12" s="71" t="str">
        <x:v>=IFERROR(C11/C10,0)</x:v>
      </x:c>
      <x:c r="C12" s="106" t="n">
        <x:f>IFERROR(C11/C10,0)</x:f>
        <x:v>0.9139679999999999</x:v>
      </x:c>
      <x:c r="D12" s="71" t="str">
        <x:v>x</x:v>
      </x:c>
      <x:c r="E12" s="71" t="str">
        <x:v>Цель: &gt;3x</x:v>
      </x:c>
      <x:c r="F12" s="71"/>
      <x:c r="G12" s="71"/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 t="str">
        <x:v>CAC Payback</x:v>
      </x:c>
      <x:c r="B13" s="71" t="str">
        <x:v>=IFERROR(C10/(C6*C9),0)</x:v>
      </x:c>
      <x:c r="C13" s="107" t="n">
        <x:f>IFERROR(C10/(C6*C9),0)</x:f>
        <x:v>21.882604204961225</x:v>
      </x:c>
      <x:c r="D13" s="71" t="str">
        <x:v>месяцы</x:v>
      </x:c>
      <x:c r="E13" s="71" t="str">
        <x:v>Цель: &lt;6 мес. для раннего B2B SaaS</x:v>
      </x:c>
      <x:c r="F13" s="71"/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 t="str">
        <x:v>Churn</x:v>
      </x:c>
      <x:c r="B14" s="71" t="str">
        <x:v>=Scenarios!$H$9</x:v>
      </x:c>
      <x:c r="C14" s="108" t="n">
        <x:f>Scenarios!$H$9</x:f>
        <x:v>0.05</x:v>
      </x:c>
      <x:c r="D14" s="71" t="str">
        <x:v>%/мес</x:v>
      </x:c>
      <x:c r="E14" s="71" t="str">
        <x:v>Месячный отток</x:v>
      </x:c>
      <x:c r="F14" s="71"/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 t="str">
        <x:v>Retention</x:v>
      </x:c>
      <x:c r="B15" s="71" t="str">
        <x:v>=1-C14</x:v>
      </x:c>
      <x:c r="C15" s="108" t="n">
        <x:f>1-C14</x:f>
        <x:v>0.95</x:v>
      </x:c>
      <x:c r="D15" s="71" t="str">
        <x:v>%/мес</x:v>
      </x:c>
      <x:c r="E15" s="71" t="str">
        <x:v>Месячное удержание</x:v>
      </x:c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 t="str">
        <x:v>Contribution Margin</x:v>
      </x:c>
      <x:c r="B16" s="71" t="str">
        <x:v>=IFERROR(SUM(Costs!C16:N16)/SUM(Revenue!C6:N6),0)</x:v>
      </x:c>
      <x:c r="C16" s="108" t="n">
        <x:f>IFERROR(SUM(Costs!C16:N16)/SUM(Revenue!C6:N6),0)</x:f>
        <x:v>-1.781089490219925</x:v>
      </x:c>
      <x:c r="D16" s="71" t="str">
        <x:v>%</x:v>
      </x:c>
      <x:c r="E16" s="71" t="str">
        <x:v>После маркетинга и продаж</x:v>
      </x:c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 t="str">
        <x:v>Burn Rate</x:v>
      </x:c>
      <x:c r="B17" s="71" t="str">
        <x:v>=Costs!N15</x:v>
      </x:c>
      <x:c r="C17" s="97" t="n">
        <x:f>Costs!N15</x:f>
        <x:v>421291.456</x:v>
      </x:c>
      <x:c r="D17" s="71" t="str">
        <x:v>₽/мес</x:v>
      </x:c>
      <x:c r="E17" s="71" t="str">
        <x:v>Burn в 12-й месяц</x:v>
      </x:c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 t="str">
        <x:v>Runway</x:v>
      </x:c>
      <x:c r="B18" s="71" t="str">
        <x:v>=IFERROR(Scenarios!$H$15/C17,0)</x:v>
      </x:c>
      <x:c r="C18" s="107" t="n">
        <x:f>IFERROR(Scenarios!$H$15/C17,0)</x:f>
        <x:v>2.136288280197166</x:v>
      </x:c>
      <x:c r="D18" s="71" t="str">
        <x:v>месяцы</x:v>
      </x:c>
      <x:c r="E18" s="71" t="str">
        <x:v>Cash / burn</x:v>
      </x:c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 t="str">
        <x:v>Break-even Users</x:v>
      </x:c>
      <x:c r="B19" s="71" t="str">
        <x:v>=IFERROR(Costs!N14/(C6*C9),0)</x:v>
      </x:c>
      <x:c r="C19" s="96" t="n">
        <x:f>IFERROR(Costs!N14/(C6*C9),0)</x:f>
        <x:v>100.13479684190256</x:v>
      </x:c>
      <x:c r="D19" s="71" t="str">
        <x:v>клиенты</x:v>
      </x:c>
      <x:c r="E19" s="71" t="str">
        <x:v>Нужно платящих для покрытия operating costs</x:v>
      </x:c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 t="str">
        <x:v>Break-even Revenue</x:v>
      </x:c>
      <x:c r="B20" s="71" t="str">
        <x:v>=IFERROR(Costs!N14/C9,0)</x:v>
      </x:c>
      <x:c r="C20" s="97" t="n">
        <x:f>IFERROR(Costs!N14/C9,0)</x:f>
        <x:v>690930.0982091277</x:v>
      </x:c>
      <x:c r="D20" s="71" t="str">
        <x:v>₽/мес</x:v>
      </x:c>
      <x:c r="E20" s="71" t="str">
        <x:v>Выручка для покрытия расходов</x:v>
      </x:c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 t="str">
        <x:v>Conversion to Paid</x:v>
      </x:c>
      <x:c r="B21" s="71" t="str">
        <x:v>=AVERAGE(Funnel!C11:N11)</x:v>
      </x:c>
      <x:c r="C21" s="108" t="n">
        <x:f>AVERAGE(Funnel!C11:N11)</x:f>
        <x:v>0.0019799999999999996</x:v>
      </x:c>
      <x:c r="D21" s="71" t="str">
        <x:v>%</x:v>
      </x:c>
      <x:c r="E21" s="71" t="str">
        <x:v>Paid / Traffic</x:v>
      </x:c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 t="str">
        <x:v>Activation</x:v>
      </x:c>
      <x:c r="B22" s="71" t="str">
        <x:v>=AVERAGE(Funnel!C12:N12)</x:v>
      </x:c>
      <x:c r="C22" s="108" t="n">
        <x:f>AVERAGE(Funnel!C12:N12)</x:f>
        <x:v>0.5499999999999999</x:v>
      </x:c>
      <x:c r="D22" s="71" t="str">
        <x:v>%</x:v>
      </x:c>
      <x:c r="E22" s="71" t="str">
        <x:v>Activated / Registrations</x:v>
      </x:c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 t="str">
        <x:v>MRR-like Revenue Month 12</x:v>
      </x:c>
      <x:c r="B23" s="71" t="str">
        <x:v>=Revenue!N6</x:v>
      </x:c>
      <x:c r="C23" s="97" t="n">
        <x:f>Revenue!N6</x:f>
        <x:v>131155.19999999998</x:v>
      </x:c>
      <x:c r="D23" s="71" t="str">
        <x:v>₽/мес</x:v>
      </x:c>
      <x:c r="E23" s="71" t="str">
        <x:v>Признанная выручка за месяц 12</x:v>
      </x:c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 t="str">
        <x:v>Реальная ценовая рекомендация</x:v>
      </x:c>
      <x:c r="B24" s="71" t="str">
        <x:v>=Assumptions!C33</x:v>
      </x:c>
      <x:c r="C24" s="97" t="n">
        <x:f>Assumptions!C33</x:f>
        <x:v>29900</x:v>
      </x:c>
      <x:c r="D24" s="71" t="str">
        <x:v>₽/сезон</x:v>
      </x:c>
      <x:c r="E24" s="71" t="str">
        <x:v>Основной стартовый оффер</x:v>
      </x:c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2ae9939e3f946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70" t="str">
        <x:v>Сценарии модели</x:v>
      </x:c>
      <x:c r="B1" s="70"/>
      <x:c r="C1" s="70"/>
      <x:c r="D1" s="70"/>
      <x:c r="E1" s="70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Показатель</x:v>
      </x:c>
      <x:c r="B3" s="72" t="str">
        <x:v>Conservative</x:v>
      </x:c>
      <x:c r="C3" s="72" t="str">
        <x:v>Base</x:v>
      </x:c>
      <x:c r="D3" s="72" t="str">
        <x:v>Aggressive</x:v>
      </x:c>
      <x:c r="E3" s="72" t="str">
        <x:v>Комментарий</x:v>
      </x:c>
      <x:c r="F3" s="71"/>
      <x:c r="G3" s="72" t="str">
        <x:v>Ключ</x:v>
      </x:c>
      <x:c r="H3" s="72" t="str">
        <x:v>Значение</x:v>
      </x:c>
      <x:c r="I3" s="72" t="str">
        <x:v>Ед.</x:v>
      </x:c>
      <x:c r="J3" s="72" t="str">
        <x:v>Формула</x:v>
      </x:c>
      <x:c r="K3" s="72" t="str">
        <x:v>Описание</x:v>
      </x:c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1" t="str">
        <x:v>Месячный охват / трафик</x:v>
      </x:c>
      <x:c r="B4" s="118" t="n">
        <x:v>400</x:v>
      </x:c>
      <x:c r="C4" s="118" t="n">
        <x:v>800</x:v>
      </x:c>
      <x:c r="D4" s="118" t="n">
        <x:v>1600</x:v>
      </x:c>
      <x:c r="E4" s="71" t="str">
        <x:v>Размер входящего/исходящего потока</x:v>
      </x:c>
      <x:c r="F4" s="71"/>
      <x:c r="G4" s="71" t="str">
        <x:v>traffic_monthly</x:v>
      </x:c>
      <x:c r="H4" s="71" t="n">
        <x:f>INDEX($B$4:$D$4,1,MATCH(Assumptions!$C$4,$B$3:$D$3,0))</x:f>
        <x:v>800</x:v>
      </x:c>
      <x:c r="I4" s="71" t="str">
        <x:v>визиты</x:v>
      </x:c>
      <x:c r="J4" s="71"/>
      <x:c r="K4" s="71" t="str">
        <x:v>Выбранный трафик</x:v>
      </x:c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1" t="str">
        <x:v>Трафик → лид</x:v>
      </x:c>
      <x:c r="B5" s="119" t="n">
        <x:v>0.035</x:v>
      </x:c>
      <x:c r="C5" s="119" t="n">
        <x:v>0.06</x:v>
      </x:c>
      <x:c r="D5" s="119" t="n">
        <x:v>0.09</x:v>
      </x:c>
      <x:c r="E5" s="71" t="str">
        <x:v>Качество оффера и канала</x:v>
      </x:c>
      <x:c r="F5" s="71"/>
      <x:c r="G5" s="71" t="str">
        <x:v>visitor_to_lead</x:v>
      </x:c>
      <x:c r="H5" s="108" t="n">
        <x:f>INDEX($B$5:$D$5,1,MATCH(Assumptions!$C$4,$B$3:$D$3,0))</x:f>
        <x:v>0.06</x:v>
      </x:c>
      <x:c r="I5" s="71" t="str">
        <x:v>%</x:v>
      </x:c>
      <x:c r="J5" s="71"/>
      <x:c r="K5" s="71" t="str">
        <x:v>Выбранная конверсия traffic→lead</x:v>
      </x:c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1" t="str">
        <x:v>Лид → регистрация</x:v>
      </x:c>
      <x:c r="B6" s="119" t="n">
        <x:v>0.2</x:v>
      </x:c>
      <x:c r="C6" s="119" t="n">
        <x:v>0.3</x:v>
      </x:c>
      <x:c r="D6" s="119" t="n">
        <x:v>0.4</x:v>
      </x:c>
      <x:c r="E6" s="71" t="str">
        <x:v>Демо / trial / onboarding</x:v>
      </x:c>
      <x:c r="F6" s="71"/>
      <x:c r="G6" s="71" t="str">
        <x:v>lead_to_registration</x:v>
      </x:c>
      <x:c r="H6" s="108" t="n">
        <x:f>INDEX($B$6:$D$6,1,MATCH(Assumptions!$C$4,$B$3:$D$3,0))</x:f>
        <x:v>0.3</x:v>
      </x:c>
      <x:c r="I6" s="71" t="str">
        <x:v>%</x:v>
      </x:c>
      <x:c r="J6" s="71"/>
      <x:c r="K6" s="71" t="str">
        <x:v>Выбранная конверсия lead→registration</x:v>
      </x:c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1" t="str">
        <x:v>Регистрация → активация</x:v>
      </x:c>
      <x:c r="B7" s="119" t="n">
        <x:v>0.4</x:v>
      </x:c>
      <x:c r="C7" s="119" t="n">
        <x:v>0.55</x:v>
      </x:c>
      <x:c r="D7" s="119" t="n">
        <x:v>0.7</x:v>
      </x:c>
      <x:c r="E7" s="71" t="str">
        <x:v>Создан лагерь + добавлены семьи</x:v>
      </x:c>
      <x:c r="F7" s="71"/>
      <x:c r="G7" s="71" t="str">
        <x:v>registration_to_activation</x:v>
      </x:c>
      <x:c r="H7" s="108" t="n">
        <x:f>INDEX($B$7:$D$7,1,MATCH(Assumptions!$C$4,$B$3:$D$3,0))</x:f>
        <x:v>0.55</x:v>
      </x:c>
      <x:c r="I7" s="71" t="str">
        <x:v>%</x:v>
      </x:c>
      <x:c r="J7" s="71"/>
      <x:c r="K7" s="71" t="str">
        <x:v>Выбранная конверсия registration→activation</x:v>
      </x:c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1" t="str">
        <x:v>Активация → оплата</x:v>
      </x:c>
      <x:c r="B8" s="119" t="n">
        <x:v>0.12</x:v>
      </x:c>
      <x:c r="C8" s="119" t="n">
        <x:v>0.2</x:v>
      </x:c>
      <x:c r="D8" s="119" t="n">
        <x:v>0.3</x:v>
      </x:c>
      <x:c r="E8" s="71" t="str">
        <x:v>Главная проверка ценности</x:v>
      </x:c>
      <x:c r="F8" s="71"/>
      <x:c r="G8" s="71" t="str">
        <x:v>activation_to_paid</x:v>
      </x:c>
      <x:c r="H8" s="108" t="n">
        <x:f>INDEX($B$8:$D$8,1,MATCH(Assumptions!$C$4,$B$3:$D$3,0))</x:f>
        <x:v>0.2</x:v>
      </x:c>
      <x:c r="I8" s="71" t="str">
        <x:v>%</x:v>
      </x:c>
      <x:c r="J8" s="71"/>
      <x:c r="K8" s="71" t="str">
        <x:v>Выбранная конверсия activation→paid</x:v>
      </x:c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1" t="str">
        <x:v>Месячный churn</x:v>
      </x:c>
      <x:c r="B9" s="118" t="n">
        <x:v>0.08</x:v>
      </x:c>
      <x:c r="C9" s="118" t="n">
        <x:v>0.05</x:v>
      </x:c>
      <x:c r="D9" s="118" t="n">
        <x:v>0.03</x:v>
      </x:c>
      <x:c r="E9" s="71" t="str">
        <x:v>Сезонность + retention</x:v>
      </x:c>
      <x:c r="F9" s="71"/>
      <x:c r="G9" s="71" t="str">
        <x:v>monthly_logo_churn</x:v>
      </x:c>
      <x:c r="H9" s="108" t="n">
        <x:f>INDEX($B$9:$D$9,1,MATCH(Assumptions!$C$4,$B$3:$D$3,0))</x:f>
        <x:v>0.05</x:v>
      </x:c>
      <x:c r="I9" s="71" t="str">
        <x:v>%</x:v>
      </x:c>
      <x:c r="J9" s="71"/>
      <x:c r="K9" s="71" t="str">
        <x:v>Выбранный churn</x:v>
      </x:c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 t="str">
        <x:v>ARPPU recognized / мес</x:v>
      </x:c>
      <x:c r="B10" s="120" t="n">
        <x:v>4900</x:v>
      </x:c>
      <x:c r="C10" s="120" t="n">
        <x:v>6900</x:v>
      </x:c>
      <x:c r="D10" s="120" t="n">
        <x:v>9900</x:v>
      </x:c>
      <x:c r="E10" s="71" t="str">
        <x:v>Смешанный чек с учетом сезонных тарифов</x:v>
      </x:c>
      <x:c r="F10" s="71"/>
      <x:c r="G10" s="71" t="str">
        <x:v>arppu</x:v>
      </x:c>
      <x:c r="H10" s="97" t="n">
        <x:f>INDEX($B$10:$D$10,1,MATCH(Assumptions!$C$4,$B$3:$D$3,0))</x:f>
        <x:v>6900</x:v>
      </x:c>
      <x:c r="I10" s="71" t="str">
        <x:v>₽/мес</x:v>
      </x:c>
      <x:c r="J10" s="71"/>
      <x:c r="K10" s="71" t="str">
        <x:v>Выбранный ARPPU</x:v>
      </x:c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 t="str">
        <x:v>Маркетинг / мес</x:v>
      </x:c>
      <x:c r="B11" s="120" t="n">
        <x:v>80000</x:v>
      </x:c>
      <x:c r="C11" s="120" t="n">
        <x:v>120000</x:v>
      </x:c>
      <x:c r="D11" s="120" t="n">
        <x:v>220000</x:v>
      </x:c>
      <x:c r="E11" s="71" t="str">
        <x:v>Маркетинговый бюджет</x:v>
      </x:c>
      <x:c r="F11" s="71"/>
      <x:c r="G11" s="71" t="str">
        <x:v>marketing_spend</x:v>
      </x:c>
      <x:c r="H11" s="97" t="n">
        <x:f>INDEX($B$11:$D$11,1,MATCH(Assumptions!$C$4,$B$3:$D$3,0))</x:f>
        <x:v>120000</x:v>
      </x:c>
      <x:c r="I11" s="71" t="str">
        <x:v>₽/мес</x:v>
      </x:c>
      <x:c r="J11" s="71"/>
      <x:c r="K11" s="71" t="str">
        <x:v>Выбранный маркетинг</x:v>
      </x:c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 t="str">
        <x:v>Продажи / мес</x:v>
      </x:c>
      <x:c r="B12" s="120" t="n">
        <x:v>40000</x:v>
      </x:c>
      <x:c r="C12" s="120" t="n">
        <x:v>60000</x:v>
      </x:c>
      <x:c r="D12" s="120" t="n">
        <x:v>120000</x:v>
      </x:c>
      <x:c r="E12" s="71" t="str">
        <x:v>Founder-led / sales support</x:v>
      </x:c>
      <x:c r="F12" s="71"/>
      <x:c r="G12" s="71" t="str">
        <x:v>sales_cost</x:v>
      </x:c>
      <x:c r="H12" s="97" t="n">
        <x:f>INDEX($B$12:$D$12,1,MATCH(Assumptions!$C$4,$B$3:$D$3,0))</x:f>
        <x:v>60000</x:v>
      </x:c>
      <x:c r="I12" s="71" t="str">
        <x:v>₽/мес</x:v>
      </x:c>
      <x:c r="J12" s="71"/>
      <x:c r="K12" s="71" t="str">
        <x:v>Выбранные продажи</x:v>
      </x:c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 t="str">
        <x:v>Фиксированные расходы / мес</x:v>
      </x:c>
      <x:c r="B13" s="120" t="n">
        <x:v>220000</x:v>
      </x:c>
      <x:c r="C13" s="120" t="n">
        <x:v>300000</x:v>
      </x:c>
      <x:c r="D13" s="120" t="n">
        <x:v>500000</x:v>
      </x:c>
      <x:c r="E13" s="71" t="str">
        <x:v>Команда и разработка</x:v>
      </x:c>
      <x:c r="F13" s="71"/>
      <x:c r="G13" s="71" t="str">
        <x:v>fixed_cost</x:v>
      </x:c>
      <x:c r="H13" s="97" t="n">
        <x:f>INDEX($B$13:$D$13,1,MATCH(Assumptions!$C$4,$B$3:$D$3,0))</x:f>
        <x:v>300000</x:v>
      </x:c>
      <x:c r="I13" s="71" t="str">
        <x:v>₽/мес</x:v>
      </x:c>
      <x:c r="J13" s="71"/>
      <x:c r="K13" s="71" t="str">
        <x:v>Выбранные фикс. расходы</x:v>
      </x:c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 t="str">
        <x:v>Валовая маржа</x:v>
      </x:c>
      <x:c r="B14" s="119" t="n">
        <x:v>0.7</x:v>
      </x:c>
      <x:c r="C14" s="119" t="n">
        <x:v>0.75</x:v>
      </x:c>
      <x:c r="D14" s="119" t="n">
        <x:v>0.82</x:v>
      </x:c>
      <x:c r="E14" s="71" t="str">
        <x:v>После инфраструктуры и поддержки</x:v>
      </x:c>
      <x:c r="F14" s="71"/>
      <x:c r="G14" s="71" t="str">
        <x:v>gross_margin</x:v>
      </x:c>
      <x:c r="H14" s="108" t="n">
        <x:f>INDEX($B$14:$D$14,1,MATCH(Assumptions!$C$4,$B$3:$D$3,0))</x:f>
        <x:v>0.75</x:v>
      </x:c>
      <x:c r="I14" s="71" t="str">
        <x:v>%</x:v>
      </x:c>
      <x:c r="J14" s="71"/>
      <x:c r="K14" s="71" t="str">
        <x:v>Выбранная валовая маржа</x:v>
      </x:c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 t="str">
        <x:v>Денежный остаток</x:v>
      </x:c>
      <x:c r="B15" s="120" t="n">
        <x:v>600000</x:v>
      </x:c>
      <x:c r="C15" s="120" t="n">
        <x:v>900000</x:v>
      </x:c>
      <x:c r="D15" s="120" t="n">
        <x:v>1800000</x:v>
      </x:c>
      <x:c r="E15" s="71" t="str">
        <x:v>Runway budget</x:v>
      </x:c>
      <x:c r="F15" s="71"/>
      <x:c r="G15" s="71" t="str">
        <x:v>cash_balance</x:v>
      </x:c>
      <x:c r="H15" s="97" t="n">
        <x:f>INDEX($B$15:$D$15,1,MATCH(Assumptions!$C$4,$B$3:$D$3,0))</x:f>
        <x:v>900000</x:v>
      </x:c>
      <x:c r="I15" s="71" t="str">
        <x:v>₽</x:v>
      </x:c>
      <x:c r="J15" s="71"/>
      <x:c r="K15" s="71" t="str">
        <x:v>Выбранный cash balance</x:v>
      </x:c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 t="str">
        <x:v>Смысл сценария</x:v>
      </x:c>
      <x:c r="B16" s="118" t="str">
        <x:v>Медленный старт, цена давит</x:v>
      </x:c>
      <x:c r="C16" s="118" t="str">
        <x:v>Реалистичный niche SaaS</x:v>
      </x:c>
      <x:c r="D16" s="118" t="str">
        <x:v>Сильный оффер и теплые каналы</x:v>
      </x:c>
      <x:c r="E16" s="71" t="str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08755d2bf4c471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70" t="str">
        <x:v>Когорты: retention платящих клиентов по месяцам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Когорта</x:v>
      </x:c>
      <x:c r="B3" s="72" t="str">
        <x:v>Новые платящие</x:v>
      </x:c>
      <x:c r="C3" s="72" t="str">
        <x:v>M0</x:v>
      </x:c>
      <x:c r="D3" s="72" t="str">
        <x:v>M1</x:v>
      </x:c>
      <x:c r="E3" s="72" t="str">
        <x:v>M2</x:v>
      </x:c>
      <x:c r="F3" s="72" t="str">
        <x:v>M3</x:v>
      </x:c>
      <x:c r="G3" s="72" t="str">
        <x:v>M4</x:v>
      </x:c>
      <x:c r="H3" s="72" t="str">
        <x:v>M5</x:v>
      </x:c>
      <x:c r="I3" s="72" t="str">
        <x:v>M6</x:v>
      </x:c>
      <x:c r="J3" s="72" t="str">
        <x:v>M7</x:v>
      </x:c>
      <x:c r="K3" s="72" t="str">
        <x:v>M8</x:v>
      </x:c>
      <x:c r="L3" s="72" t="str">
        <x:v>M9</x:v>
      </x:c>
      <x:c r="M3" s="72" t="str">
        <x:v>M10</x:v>
      </x:c>
      <x:c r="N3" s="72" t="str">
        <x:v>M11</x:v>
      </x:c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1" t="str">
        <x:v>Месяц 1</x:v>
      </x:c>
      <x:c r="B4" s="96" t="n">
        <x:f>Funnel!C8</x:f>
        <x:v>1.584</x:v>
      </x:c>
      <x:c r="C4" s="96" t="n">
        <x:f>$B4</x:f>
        <x:v>1.584</x:v>
      </x:c>
      <x:c r="D4" s="96" t="n">
        <x:f>C4*(1-Scenarios!$H$9)</x:f>
        <x:v>1.5048</x:v>
      </x:c>
      <x:c r="E4" s="96" t="n">
        <x:f>D4*(1-Scenarios!$H$9)</x:f>
        <x:v>1.42956</x:v>
      </x:c>
      <x:c r="F4" s="96" t="n">
        <x:f>E4*(1-Scenarios!$H$9)</x:f>
        <x:v>1.3580819999999998</x:v>
      </x:c>
      <x:c r="G4" s="96" t="n">
        <x:f>F4*(1-Scenarios!$H$9)</x:f>
        <x:v>1.2901778999999998</x:v>
      </x:c>
      <x:c r="H4" s="96" t="n">
        <x:f>G4*(1-Scenarios!$H$9)</x:f>
        <x:v>1.2256690049999996</x:v>
      </x:c>
      <x:c r="I4" s="96" t="n">
        <x:f>H4*(1-Scenarios!$H$9)</x:f>
        <x:v>1.1643855547499997</x:v>
      </x:c>
      <x:c r="J4" s="96" t="n">
        <x:f>I4*(1-Scenarios!$H$9)</x:f>
        <x:v>1.1061662770124996</x:v>
      </x:c>
      <x:c r="K4" s="96" t="n">
        <x:f>J4*(1-Scenarios!$H$9)</x:f>
        <x:v>1.0508579631618746</x:v>
      </x:c>
      <x:c r="L4" s="96" t="n">
        <x:f>K4*(1-Scenarios!$H$9)</x:f>
        <x:v>0.9983150650037809</x:v>
      </x:c>
      <x:c r="M4" s="96" t="n">
        <x:f>L4*(1-Scenarios!$H$9)</x:f>
        <x:v>0.9483993117535918</x:v>
      </x:c>
      <x:c r="N4" s="96" t="n">
        <x:f>M4*(1-Scenarios!$H$9)</x:f>
        <x:v>0.9009793461659122</x:v>
      </x:c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1" t="str">
        <x:v>Месяц 2</x:v>
      </x:c>
      <x:c r="B5" s="96" t="n">
        <x:f>Funnel!D8</x:f>
        <x:v>1.584</x:v>
      </x:c>
      <x:c r="C5" s="96" t="n">
        <x:f>$B5</x:f>
        <x:v>1.584</x:v>
      </x:c>
      <x:c r="D5" s="96" t="n">
        <x:f>C5*(1-Scenarios!$H$9)</x:f>
        <x:v>1.5048</x:v>
      </x:c>
      <x:c r="E5" s="96" t="n">
        <x:f>D5*(1-Scenarios!$H$9)</x:f>
        <x:v>1.42956</x:v>
      </x:c>
      <x:c r="F5" s="96" t="n">
        <x:f>E5*(1-Scenarios!$H$9)</x:f>
        <x:v>1.3580819999999998</x:v>
      </x:c>
      <x:c r="G5" s="96" t="n">
        <x:f>F5*(1-Scenarios!$H$9)</x:f>
        <x:v>1.2901778999999998</x:v>
      </x:c>
      <x:c r="H5" s="96" t="n">
        <x:f>G5*(1-Scenarios!$H$9)</x:f>
        <x:v>1.2256690049999996</x:v>
      </x:c>
      <x:c r="I5" s="96" t="n">
        <x:f>H5*(1-Scenarios!$H$9)</x:f>
        <x:v>1.1643855547499997</x:v>
      </x:c>
      <x:c r="J5" s="96" t="n">
        <x:f>I5*(1-Scenarios!$H$9)</x:f>
        <x:v>1.1061662770124996</x:v>
      </x:c>
      <x:c r="K5" s="96" t="n">
        <x:f>J5*(1-Scenarios!$H$9)</x:f>
        <x:v>1.0508579631618746</x:v>
      </x:c>
      <x:c r="L5" s="96" t="n">
        <x:f>K5*(1-Scenarios!$H$9)</x:f>
        <x:v>0.9983150650037809</x:v>
      </x:c>
      <x:c r="M5" s="96" t="n">
        <x:f>L5*(1-Scenarios!$H$9)</x:f>
        <x:v>0.9483993117535918</x:v>
      </x:c>
      <x:c r="N5" s="96" t="n">
        <x:f>M5*(1-Scenarios!$H$9)</x:f>
        <x:v>0.9009793461659122</x:v>
      </x:c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1" t="str">
        <x:v>Месяц 3</x:v>
      </x:c>
      <x:c r="B6" s="96" t="n">
        <x:f>Funnel!E8</x:f>
        <x:v>1.584</x:v>
      </x:c>
      <x:c r="C6" s="96" t="n">
        <x:f>$B6</x:f>
        <x:v>1.584</x:v>
      </x:c>
      <x:c r="D6" s="96" t="n">
        <x:f>C6*(1-Scenarios!$H$9)</x:f>
        <x:v>1.5048</x:v>
      </x:c>
      <x:c r="E6" s="96" t="n">
        <x:f>D6*(1-Scenarios!$H$9)</x:f>
        <x:v>1.42956</x:v>
      </x:c>
      <x:c r="F6" s="96" t="n">
        <x:f>E6*(1-Scenarios!$H$9)</x:f>
        <x:v>1.3580819999999998</x:v>
      </x:c>
      <x:c r="G6" s="96" t="n">
        <x:f>F6*(1-Scenarios!$H$9)</x:f>
        <x:v>1.2901778999999998</x:v>
      </x:c>
      <x:c r="H6" s="96" t="n">
        <x:f>G6*(1-Scenarios!$H$9)</x:f>
        <x:v>1.2256690049999996</x:v>
      </x:c>
      <x:c r="I6" s="96" t="n">
        <x:f>H6*(1-Scenarios!$H$9)</x:f>
        <x:v>1.1643855547499997</x:v>
      </x:c>
      <x:c r="J6" s="96" t="n">
        <x:f>I6*(1-Scenarios!$H$9)</x:f>
        <x:v>1.1061662770124996</x:v>
      </x:c>
      <x:c r="K6" s="96" t="n">
        <x:f>J6*(1-Scenarios!$H$9)</x:f>
        <x:v>1.0508579631618746</x:v>
      </x:c>
      <x:c r="L6" s="96" t="n">
        <x:f>K6*(1-Scenarios!$H$9)</x:f>
        <x:v>0.9983150650037809</x:v>
      </x:c>
      <x:c r="M6" s="96" t="n">
        <x:f>L6*(1-Scenarios!$H$9)</x:f>
        <x:v>0.9483993117535918</x:v>
      </x:c>
      <x:c r="N6" s="96" t="n">
        <x:f>M6*(1-Scenarios!$H$9)</x:f>
        <x:v>0.9009793461659122</x:v>
      </x:c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1" t="str">
        <x:v>Месяц 4</x:v>
      </x:c>
      <x:c r="B7" s="96" t="n">
        <x:f>Funnel!F8</x:f>
        <x:v>1.584</x:v>
      </x:c>
      <x:c r="C7" s="96" t="n">
        <x:f>$B7</x:f>
        <x:v>1.584</x:v>
      </x:c>
      <x:c r="D7" s="96" t="n">
        <x:f>C7*(1-Scenarios!$H$9)</x:f>
        <x:v>1.5048</x:v>
      </x:c>
      <x:c r="E7" s="96" t="n">
        <x:f>D7*(1-Scenarios!$H$9)</x:f>
        <x:v>1.42956</x:v>
      </x:c>
      <x:c r="F7" s="96" t="n">
        <x:f>E7*(1-Scenarios!$H$9)</x:f>
        <x:v>1.3580819999999998</x:v>
      </x:c>
      <x:c r="G7" s="96" t="n">
        <x:f>F7*(1-Scenarios!$H$9)</x:f>
        <x:v>1.2901778999999998</x:v>
      </x:c>
      <x:c r="H7" s="96" t="n">
        <x:f>G7*(1-Scenarios!$H$9)</x:f>
        <x:v>1.2256690049999996</x:v>
      </x:c>
      <x:c r="I7" s="96" t="n">
        <x:f>H7*(1-Scenarios!$H$9)</x:f>
        <x:v>1.1643855547499997</x:v>
      </x:c>
      <x:c r="J7" s="96" t="n">
        <x:f>I7*(1-Scenarios!$H$9)</x:f>
        <x:v>1.1061662770124996</x:v>
      </x:c>
      <x:c r="K7" s="96" t="n">
        <x:f>J7*(1-Scenarios!$H$9)</x:f>
        <x:v>1.0508579631618746</x:v>
      </x:c>
      <x:c r="L7" s="96" t="n">
        <x:f>K7*(1-Scenarios!$H$9)</x:f>
        <x:v>0.9983150650037809</x:v>
      </x:c>
      <x:c r="M7" s="96" t="n">
        <x:f>L7*(1-Scenarios!$H$9)</x:f>
        <x:v>0.9483993117535918</x:v>
      </x:c>
      <x:c r="N7" s="96" t="n">
        <x:f>M7*(1-Scenarios!$H$9)</x:f>
        <x:v>0.9009793461659122</x:v>
      </x:c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1" t="str">
        <x:v>Месяц 5</x:v>
      </x:c>
      <x:c r="B8" s="96" t="n">
        <x:f>Funnel!G8</x:f>
        <x:v>1.584</x:v>
      </x:c>
      <x:c r="C8" s="96" t="n">
        <x:f>$B8</x:f>
        <x:v>1.584</x:v>
      </x:c>
      <x:c r="D8" s="96" t="n">
        <x:f>C8*(1-Scenarios!$H$9)</x:f>
        <x:v>1.5048</x:v>
      </x:c>
      <x:c r="E8" s="96" t="n">
        <x:f>D8*(1-Scenarios!$H$9)</x:f>
        <x:v>1.42956</x:v>
      </x:c>
      <x:c r="F8" s="96" t="n">
        <x:f>E8*(1-Scenarios!$H$9)</x:f>
        <x:v>1.3580819999999998</x:v>
      </x:c>
      <x:c r="G8" s="96" t="n">
        <x:f>F8*(1-Scenarios!$H$9)</x:f>
        <x:v>1.2901778999999998</x:v>
      </x:c>
      <x:c r="H8" s="96" t="n">
        <x:f>G8*(1-Scenarios!$H$9)</x:f>
        <x:v>1.2256690049999996</x:v>
      </x:c>
      <x:c r="I8" s="96" t="n">
        <x:f>H8*(1-Scenarios!$H$9)</x:f>
        <x:v>1.1643855547499997</x:v>
      </x:c>
      <x:c r="J8" s="96" t="n">
        <x:f>I8*(1-Scenarios!$H$9)</x:f>
        <x:v>1.1061662770124996</x:v>
      </x:c>
      <x:c r="K8" s="96" t="n">
        <x:f>J8*(1-Scenarios!$H$9)</x:f>
        <x:v>1.0508579631618746</x:v>
      </x:c>
      <x:c r="L8" s="96" t="n">
        <x:f>K8*(1-Scenarios!$H$9)</x:f>
        <x:v>0.9983150650037809</x:v>
      </x:c>
      <x:c r="M8" s="96" t="n">
        <x:f>L8*(1-Scenarios!$H$9)</x:f>
        <x:v>0.9483993117535918</x:v>
      </x:c>
      <x:c r="N8" s="96" t="n">
        <x:f>M8*(1-Scenarios!$H$9)</x:f>
        <x:v>0.9009793461659122</x:v>
      </x:c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1" t="str">
        <x:v>Месяц 6</x:v>
      </x:c>
      <x:c r="B9" s="96" t="n">
        <x:f>Funnel!H8</x:f>
        <x:v>1.584</x:v>
      </x:c>
      <x:c r="C9" s="96" t="n">
        <x:f>$B9</x:f>
        <x:v>1.584</x:v>
      </x:c>
      <x:c r="D9" s="96" t="n">
        <x:f>C9*(1-Scenarios!$H$9)</x:f>
        <x:v>1.5048</x:v>
      </x:c>
      <x:c r="E9" s="96" t="n">
        <x:f>D9*(1-Scenarios!$H$9)</x:f>
        <x:v>1.42956</x:v>
      </x:c>
      <x:c r="F9" s="96" t="n">
        <x:f>E9*(1-Scenarios!$H$9)</x:f>
        <x:v>1.3580819999999998</x:v>
      </x:c>
      <x:c r="G9" s="96" t="n">
        <x:f>F9*(1-Scenarios!$H$9)</x:f>
        <x:v>1.2901778999999998</x:v>
      </x:c>
      <x:c r="H9" s="96" t="n">
        <x:f>G9*(1-Scenarios!$H$9)</x:f>
        <x:v>1.2256690049999996</x:v>
      </x:c>
      <x:c r="I9" s="96" t="n">
        <x:f>H9*(1-Scenarios!$H$9)</x:f>
        <x:v>1.1643855547499997</x:v>
      </x:c>
      <x:c r="J9" s="96" t="n">
        <x:f>I9*(1-Scenarios!$H$9)</x:f>
        <x:v>1.1061662770124996</x:v>
      </x:c>
      <x:c r="K9" s="96" t="n">
        <x:f>J9*(1-Scenarios!$H$9)</x:f>
        <x:v>1.0508579631618746</x:v>
      </x:c>
      <x:c r="L9" s="96" t="n">
        <x:f>K9*(1-Scenarios!$H$9)</x:f>
        <x:v>0.9983150650037809</x:v>
      </x:c>
      <x:c r="M9" s="96" t="n">
        <x:f>L9*(1-Scenarios!$H$9)</x:f>
        <x:v>0.9483993117535918</x:v>
      </x:c>
      <x:c r="N9" s="96" t="n">
        <x:f>M9*(1-Scenarios!$H$9)</x:f>
        <x:v>0.9009793461659122</x:v>
      </x:c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 t="str">
        <x:v>Месяц 7</x:v>
      </x:c>
      <x:c r="B10" s="96" t="n">
        <x:f>Funnel!I8</x:f>
        <x:v>1.584</x:v>
      </x:c>
      <x:c r="C10" s="96" t="n">
        <x:f>$B10</x:f>
        <x:v>1.584</x:v>
      </x:c>
      <x:c r="D10" s="96" t="n">
        <x:f>C10*(1-Scenarios!$H$9)</x:f>
        <x:v>1.5048</x:v>
      </x:c>
      <x:c r="E10" s="96" t="n">
        <x:f>D10*(1-Scenarios!$H$9)</x:f>
        <x:v>1.42956</x:v>
      </x:c>
      <x:c r="F10" s="96" t="n">
        <x:f>E10*(1-Scenarios!$H$9)</x:f>
        <x:v>1.3580819999999998</x:v>
      </x:c>
      <x:c r="G10" s="96" t="n">
        <x:f>F10*(1-Scenarios!$H$9)</x:f>
        <x:v>1.2901778999999998</x:v>
      </x:c>
      <x:c r="H10" s="96" t="n">
        <x:f>G10*(1-Scenarios!$H$9)</x:f>
        <x:v>1.2256690049999996</x:v>
      </x:c>
      <x:c r="I10" s="96" t="n">
        <x:f>H10*(1-Scenarios!$H$9)</x:f>
        <x:v>1.1643855547499997</x:v>
      </x:c>
      <x:c r="J10" s="96" t="n">
        <x:f>I10*(1-Scenarios!$H$9)</x:f>
        <x:v>1.1061662770124996</x:v>
      </x:c>
      <x:c r="K10" s="96" t="n">
        <x:f>J10*(1-Scenarios!$H$9)</x:f>
        <x:v>1.0508579631618746</x:v>
      </x:c>
      <x:c r="L10" s="96" t="n">
        <x:f>K10*(1-Scenarios!$H$9)</x:f>
        <x:v>0.9983150650037809</x:v>
      </x:c>
      <x:c r="M10" s="96" t="n">
        <x:f>L10*(1-Scenarios!$H$9)</x:f>
        <x:v>0.9483993117535918</x:v>
      </x:c>
      <x:c r="N10" s="96" t="n">
        <x:f>M10*(1-Scenarios!$H$9)</x:f>
        <x:v>0.9009793461659122</x:v>
      </x:c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 t="str">
        <x:v>Месяц 8</x:v>
      </x:c>
      <x:c r="B11" s="96" t="n">
        <x:f>Funnel!J8</x:f>
        <x:v>1.584</x:v>
      </x:c>
      <x:c r="C11" s="96" t="n">
        <x:f>$B11</x:f>
        <x:v>1.584</x:v>
      </x:c>
      <x:c r="D11" s="96" t="n">
        <x:f>C11*(1-Scenarios!$H$9)</x:f>
        <x:v>1.5048</x:v>
      </x:c>
      <x:c r="E11" s="96" t="n">
        <x:f>D11*(1-Scenarios!$H$9)</x:f>
        <x:v>1.42956</x:v>
      </x:c>
      <x:c r="F11" s="96" t="n">
        <x:f>E11*(1-Scenarios!$H$9)</x:f>
        <x:v>1.3580819999999998</x:v>
      </x:c>
      <x:c r="G11" s="96" t="n">
        <x:f>F11*(1-Scenarios!$H$9)</x:f>
        <x:v>1.2901778999999998</x:v>
      </x:c>
      <x:c r="H11" s="96" t="n">
        <x:f>G11*(1-Scenarios!$H$9)</x:f>
        <x:v>1.2256690049999996</x:v>
      </x:c>
      <x:c r="I11" s="96" t="n">
        <x:f>H11*(1-Scenarios!$H$9)</x:f>
        <x:v>1.1643855547499997</x:v>
      </x:c>
      <x:c r="J11" s="96" t="n">
        <x:f>I11*(1-Scenarios!$H$9)</x:f>
        <x:v>1.1061662770124996</x:v>
      </x:c>
      <x:c r="K11" s="96" t="n">
        <x:f>J11*(1-Scenarios!$H$9)</x:f>
        <x:v>1.0508579631618746</x:v>
      </x:c>
      <x:c r="L11" s="96" t="n">
        <x:f>K11*(1-Scenarios!$H$9)</x:f>
        <x:v>0.9983150650037809</x:v>
      </x:c>
      <x:c r="M11" s="96" t="n">
        <x:f>L11*(1-Scenarios!$H$9)</x:f>
        <x:v>0.9483993117535918</x:v>
      </x:c>
      <x:c r="N11" s="96" t="n">
        <x:f>M11*(1-Scenarios!$H$9)</x:f>
        <x:v>0.9009793461659122</x:v>
      </x:c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 t="str">
        <x:v>Месяц 9</x:v>
      </x:c>
      <x:c r="B12" s="96" t="n">
        <x:f>Funnel!K8</x:f>
        <x:v>1.584</x:v>
      </x:c>
      <x:c r="C12" s="96" t="n">
        <x:f>$B12</x:f>
        <x:v>1.584</x:v>
      </x:c>
      <x:c r="D12" s="96" t="n">
        <x:f>C12*(1-Scenarios!$H$9)</x:f>
        <x:v>1.5048</x:v>
      </x:c>
      <x:c r="E12" s="96" t="n">
        <x:f>D12*(1-Scenarios!$H$9)</x:f>
        <x:v>1.42956</x:v>
      </x:c>
      <x:c r="F12" s="96" t="n">
        <x:f>E12*(1-Scenarios!$H$9)</x:f>
        <x:v>1.3580819999999998</x:v>
      </x:c>
      <x:c r="G12" s="96" t="n">
        <x:f>F12*(1-Scenarios!$H$9)</x:f>
        <x:v>1.2901778999999998</x:v>
      </x:c>
      <x:c r="H12" s="96" t="n">
        <x:f>G12*(1-Scenarios!$H$9)</x:f>
        <x:v>1.2256690049999996</x:v>
      </x:c>
      <x:c r="I12" s="96" t="n">
        <x:f>H12*(1-Scenarios!$H$9)</x:f>
        <x:v>1.1643855547499997</x:v>
      </x:c>
      <x:c r="J12" s="96" t="n">
        <x:f>I12*(1-Scenarios!$H$9)</x:f>
        <x:v>1.1061662770124996</x:v>
      </x:c>
      <x:c r="K12" s="96" t="n">
        <x:f>J12*(1-Scenarios!$H$9)</x:f>
        <x:v>1.0508579631618746</x:v>
      </x:c>
      <x:c r="L12" s="96" t="n">
        <x:f>K12*(1-Scenarios!$H$9)</x:f>
        <x:v>0.9983150650037809</x:v>
      </x:c>
      <x:c r="M12" s="96" t="n">
        <x:f>L12*(1-Scenarios!$H$9)</x:f>
        <x:v>0.9483993117535918</x:v>
      </x:c>
      <x:c r="N12" s="96" t="n">
        <x:f>M12*(1-Scenarios!$H$9)</x:f>
        <x:v>0.9009793461659122</x:v>
      </x:c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 t="str">
        <x:v>Месяц 10</x:v>
      </x:c>
      <x:c r="B13" s="96" t="n">
        <x:f>Funnel!L8</x:f>
        <x:v>1.584</x:v>
      </x:c>
      <x:c r="C13" s="96" t="n">
        <x:f>$B13</x:f>
        <x:v>1.584</x:v>
      </x:c>
      <x:c r="D13" s="96" t="n">
        <x:f>C13*(1-Scenarios!$H$9)</x:f>
        <x:v>1.5048</x:v>
      </x:c>
      <x:c r="E13" s="96" t="n">
        <x:f>D13*(1-Scenarios!$H$9)</x:f>
        <x:v>1.42956</x:v>
      </x:c>
      <x:c r="F13" s="96" t="n">
        <x:f>E13*(1-Scenarios!$H$9)</x:f>
        <x:v>1.3580819999999998</x:v>
      </x:c>
      <x:c r="G13" s="96" t="n">
        <x:f>F13*(1-Scenarios!$H$9)</x:f>
        <x:v>1.2901778999999998</x:v>
      </x:c>
      <x:c r="H13" s="96" t="n">
        <x:f>G13*(1-Scenarios!$H$9)</x:f>
        <x:v>1.2256690049999996</x:v>
      </x:c>
      <x:c r="I13" s="96" t="n">
        <x:f>H13*(1-Scenarios!$H$9)</x:f>
        <x:v>1.1643855547499997</x:v>
      </x:c>
      <x:c r="J13" s="96" t="n">
        <x:f>I13*(1-Scenarios!$H$9)</x:f>
        <x:v>1.1061662770124996</x:v>
      </x:c>
      <x:c r="K13" s="96" t="n">
        <x:f>J13*(1-Scenarios!$H$9)</x:f>
        <x:v>1.0508579631618746</x:v>
      </x:c>
      <x:c r="L13" s="96" t="n">
        <x:f>K13*(1-Scenarios!$H$9)</x:f>
        <x:v>0.9983150650037809</x:v>
      </x:c>
      <x:c r="M13" s="96" t="n">
        <x:f>L13*(1-Scenarios!$H$9)</x:f>
        <x:v>0.9483993117535918</x:v>
      </x:c>
      <x:c r="N13" s="96" t="n">
        <x:f>M13*(1-Scenarios!$H$9)</x:f>
        <x:v>0.9009793461659122</x:v>
      </x:c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 t="str">
        <x:v>Месяц 11</x:v>
      </x:c>
      <x:c r="B14" s="96" t="n">
        <x:f>Funnel!M8</x:f>
        <x:v>1.584</x:v>
      </x:c>
      <x:c r="C14" s="96" t="n">
        <x:f>$B14</x:f>
        <x:v>1.584</x:v>
      </x:c>
      <x:c r="D14" s="96" t="n">
        <x:f>C14*(1-Scenarios!$H$9)</x:f>
        <x:v>1.5048</x:v>
      </x:c>
      <x:c r="E14" s="96" t="n">
        <x:f>D14*(1-Scenarios!$H$9)</x:f>
        <x:v>1.42956</x:v>
      </x:c>
      <x:c r="F14" s="96" t="n">
        <x:f>E14*(1-Scenarios!$H$9)</x:f>
        <x:v>1.3580819999999998</x:v>
      </x:c>
      <x:c r="G14" s="96" t="n">
        <x:f>F14*(1-Scenarios!$H$9)</x:f>
        <x:v>1.2901778999999998</x:v>
      </x:c>
      <x:c r="H14" s="96" t="n">
        <x:f>G14*(1-Scenarios!$H$9)</x:f>
        <x:v>1.2256690049999996</x:v>
      </x:c>
      <x:c r="I14" s="96" t="n">
        <x:f>H14*(1-Scenarios!$H$9)</x:f>
        <x:v>1.1643855547499997</x:v>
      </x:c>
      <x:c r="J14" s="96" t="n">
        <x:f>I14*(1-Scenarios!$H$9)</x:f>
        <x:v>1.1061662770124996</x:v>
      </x:c>
      <x:c r="K14" s="96" t="n">
        <x:f>J14*(1-Scenarios!$H$9)</x:f>
        <x:v>1.0508579631618746</x:v>
      </x:c>
      <x:c r="L14" s="96" t="n">
        <x:f>K14*(1-Scenarios!$H$9)</x:f>
        <x:v>0.9983150650037809</x:v>
      </x:c>
      <x:c r="M14" s="96" t="n">
        <x:f>L14*(1-Scenarios!$H$9)</x:f>
        <x:v>0.9483993117535918</x:v>
      </x:c>
      <x:c r="N14" s="96" t="n">
        <x:f>M14*(1-Scenarios!$H$9)</x:f>
        <x:v>0.9009793461659122</x:v>
      </x:c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 t="str">
        <x:v>Месяц 12</x:v>
      </x:c>
      <x:c r="B15" s="96" t="n">
        <x:f>Funnel!N8</x:f>
        <x:v>1.584</x:v>
      </x:c>
      <x:c r="C15" s="96" t="n">
        <x:f>$B15</x:f>
        <x:v>1.584</x:v>
      </x:c>
      <x:c r="D15" s="96" t="n">
        <x:f>C15*(1-Scenarios!$H$9)</x:f>
        <x:v>1.5048</x:v>
      </x:c>
      <x:c r="E15" s="96" t="n">
        <x:f>D15*(1-Scenarios!$H$9)</x:f>
        <x:v>1.42956</x:v>
      </x:c>
      <x:c r="F15" s="96" t="n">
        <x:f>E15*(1-Scenarios!$H$9)</x:f>
        <x:v>1.3580819999999998</x:v>
      </x:c>
      <x:c r="G15" s="96" t="n">
        <x:f>F15*(1-Scenarios!$H$9)</x:f>
        <x:v>1.2901778999999998</x:v>
      </x:c>
      <x:c r="H15" s="96" t="n">
        <x:f>G15*(1-Scenarios!$H$9)</x:f>
        <x:v>1.2256690049999996</x:v>
      </x:c>
      <x:c r="I15" s="96" t="n">
        <x:f>H15*(1-Scenarios!$H$9)</x:f>
        <x:v>1.1643855547499997</x:v>
      </x:c>
      <x:c r="J15" s="96" t="n">
        <x:f>I15*(1-Scenarios!$H$9)</x:f>
        <x:v>1.1061662770124996</x:v>
      </x:c>
      <x:c r="K15" s="96" t="n">
        <x:f>J15*(1-Scenarios!$H$9)</x:f>
        <x:v>1.0508579631618746</x:v>
      </x:c>
      <x:c r="L15" s="96" t="n">
        <x:f>K15*(1-Scenarios!$H$9)</x:f>
        <x:v>0.9983150650037809</x:v>
      </x:c>
      <x:c r="M15" s="96" t="n">
        <x:f>L15*(1-Scenarios!$H$9)</x:f>
        <x:v>0.9483993117535918</x:v>
      </x:c>
      <x:c r="N15" s="96" t="n">
        <x:f>M15*(1-Scenarios!$H$9)</x:f>
        <x:v>0.9009793461659122</x:v>
      </x:c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6fc8d5ed38b430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8" max="8" width="20" hidden="0" customWidth="1"/>
  </x:cols>
  <x:sheetData>
    <x:row r="1">
      <x:c r="A1" s="70" t="str">
        <x:v>Dashboard — ключевые KPI Tandora</x:v>
      </x:c>
      <x:c r="B1" s="70"/>
      <x:c r="C1" s="70"/>
      <x:c r="D1" s="70"/>
      <x:c r="E1" s="70"/>
      <x:c r="F1" s="70"/>
      <x:c r="G1" s="70"/>
      <x:c r="H1" s="70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96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KPI</x:v>
      </x:c>
      <x:c r="B3" s="130" t="str">
        <x:v>Значение</x:v>
      </x:c>
      <x:c r="C3" s="72" t="str">
        <x:v>Единица</x:v>
      </x:c>
      <x:c r="D3" s="72" t="str">
        <x:v>Статус</x:v>
      </x:c>
      <x:c r="E3" s="72" t="str">
        <x:v>Цель / порог</x:v>
      </x:c>
      <x:c r="F3" s="72" t="str">
        <x:v>Формула</x:v>
      </x:c>
      <x:c r="G3" s="72" t="str">
        <x:v>Интерпретация</x:v>
      </x:c>
      <x:c r="H3" s="72" t="str">
        <x:v>Приоритет</x:v>
      </x:c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3" t="str">
        <x:v>Traffic</x:v>
      </x:c>
      <x:c r="B4" s="88" t="n">
        <x:f>Funnel!O4</x:f>
        <x:v>9600</x:v>
      </x:c>
      <x:c r="C4" s="73" t="str">
        <x:v>визиты</x:v>
      </x:c>
      <x:c r="D4" s="73" t="str">
        <x:f>IF(B2&gt;=9600,"OK","Watch")</x:f>
        <x:v>Watch</x:v>
      </x:c>
      <x:c r="E4" s="73" t="str">
        <x:v>≥ 9 600/год</x:v>
      </x:c>
      <x:c r="F4" s="73" t="str">
        <x:v>Funnel total traffic</x:v>
      </x:c>
      <x:c r="G4" s="73" t="str">
        <x:v>Достаточно ли входящего потока</x:v>
      </x:c>
      <x:c r="H4" s="73" t="str">
        <x:v>medium</x:v>
      </x:c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3" t="str">
        <x:v>Leads</x:v>
      </x:c>
      <x:c r="B5" s="89" t="n">
        <x:f>Unit_Economics!C22</x:f>
        <x:v>0.5499999999999999</x:v>
      </x:c>
      <x:c r="C5" s="73" t="str">
        <x:v>лиды</x:v>
      </x:c>
      <x:c r="D5" s="73" t="str">
        <x:f>IF(B5&gt;=0.5,"OK","Danger")</x:f>
        <x:v>OK</x:v>
      </x:c>
      <x:c r="E5" s="73" t="str">
        <x:v>≥ 500/год</x:v>
      </x:c>
      <x:c r="F5" s="73" t="str">
        <x:v>Traffic * conv</x:v>
      </x:c>
      <x:c r="G5" s="73" t="str">
        <x:v>Сырье для продаж</x:v>
      </x:c>
      <x:c r="H5" s="73" t="str">
        <x:v>medium</x:v>
      </x:c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3" t="str">
        <x:v>Registrations</x:v>
      </x:c>
      <x:c r="B6" s="88" t="n">
        <x:f>Unit_Economics!C4</x:f>
        <x:v>19.008</x:v>
      </x:c>
      <x:c r="C6" s="73" t="str">
        <x:v>регистрации</x:v>
      </x:c>
      <x:c r="D6" s="73" t="str">
        <x:f>IF(B6&gt;=B21,"Break-even","Not reached")</x:f>
        <x:v>Not reached</x:v>
      </x:c>
      <x:c r="E6" s="73" t="str">
        <x:v>≥ 120/год</x:v>
      </x:c>
      <x:c r="F6" s="73" t="str">
        <x:v>Leads * conv</x:v>
      </x:c>
      <x:c r="G6" s="73" t="str">
        <x:v>Проверка интереса</x:v>
      </x:c>
      <x:c r="H6" s="73" t="str">
        <x:v>medium</x:v>
      </x:c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3" t="str">
        <x:v>Activation</x:v>
      </x:c>
      <x:c r="B7" s="89" t="n">
        <x:f>Unit_Economics!C21</x:f>
        <x:v>0.0019799999999999996</x:v>
      </x:c>
      <x:c r="C7" s="73" t="str">
        <x:v>%</x:v>
      </x:c>
      <x:c r="D7" s="73" t="str">
        <x:f>IF(B7&gt;=0.015,"OK","Danger")</x:f>
        <x:v>Danger</x:v>
      </x:c>
      <x:c r="E7" s="73" t="str">
        <x:v>≥ 50%</x:v>
      </x:c>
      <x:c r="F7" s="73" t="str">
        <x:v>Activated / registrations</x:v>
      </x:c>
      <x:c r="G7" s="73" t="str">
        <x:v>Понимают ли продукт после регистрации</x:v>
      </x:c>
      <x:c r="H7" s="73" t="str">
        <x:v>high</x:v>
      </x:c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3" t="str">
        <x:v>Paid Users</x:v>
      </x:c>
      <x:c r="B8" s="131" t="n">
        <x:f>Unit_Economics!C5</x:f>
        <x:v>4933.499999999998</x:v>
      </x:c>
      <x:c r="C8" s="73" t="str">
        <x:v>клиенты</x:v>
      </x:c>
      <x:c r="D8" s="73" t="str">
        <x:f>IF(B8&gt;=2000,"OK","Watch")</x:f>
        <x:v>OK</x:v>
      </x:c>
      <x:c r="E8" s="73" t="str">
        <x:v>Break-even users</x:v>
      </x:c>
      <x:c r="F8" s="73" t="str">
        <x:v>Month 12 active paid</x:v>
      </x:c>
      <x:c r="G8" s="73" t="str">
        <x:v>Достигнута ли база платящих</x:v>
      </x:c>
      <x:c r="H8" s="73" t="str">
        <x:v>critical</x:v>
      </x:c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3" t="str">
        <x:v>Conversion to Paid</x:v>
      </x:c>
      <x:c r="B9" s="131" t="n">
        <x:f>Unit_Economics!C6</x:f>
        <x:v>6900</x:v>
      </x:c>
      <x:c r="C9" s="73" t="str">
        <x:v>%</x:v>
      </x:c>
      <x:c r="D9" s="73" t="str">
        <x:f>IF(B9&gt;=5900,"OK","Danger")</x:f>
        <x:v>OK</x:v>
      </x:c>
      <x:c r="E9" s="73" t="str">
        <x:v>≥ 1.5% traffic→paid</x:v>
      </x:c>
      <x:c r="F9" s="73" t="str">
        <x:v>New paid / traffic</x:v>
      </x:c>
      <x:c r="G9" s="73" t="str">
        <x:v>Сила оффера и продаж</x:v>
      </x:c>
      <x:c r="H9" s="73" t="str">
        <x:v>critical</x:v>
      </x:c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3" t="str">
        <x:v>ARPU</x:v>
      </x:c>
      <x:c r="B10" s="131" t="n">
        <x:f>Unit_Economics!C7</x:f>
        <x:v>852508.7999999999</x:v>
      </x:c>
      <x:c r="C10" s="73" t="str">
        <x:v>₽/рег.</x:v>
      </x:c>
      <x:c r="D10" s="73" t="str">
        <x:f>IF(B10&gt;=Costs!O14,"OK","Watch")</x:f>
        <x:v>Watch</x:v>
      </x:c>
      <x:c r="E10" s="73" t="str">
        <x:v>≥ 2 000 ₽</x:v>
      </x:c>
      <x:c r="F10" s="73" t="str">
        <x:v>Revenue / registrations</x:v>
      </x:c>
      <x:c r="G10" s="73" t="str">
        <x:v>Качество монетизации регистраций</x:v>
      </x:c>
      <x:c r="H10" s="73" t="str">
        <x:v>medium</x:v>
      </x:c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3" t="str">
        <x:v>ARPPU</x:v>
      </x:c>
      <x:c r="B11" s="131" t="n">
        <x:f>Unit_Economics!C8</x:f>
        <x:v>641605.536</x:v>
      </x:c>
      <x:c r="C11" s="73" t="str">
        <x:v>₽/мес</x:v>
      </x:c>
      <x:c r="D11" s="73" t="str">
        <x:f>IF(B11&gt;0,"OK","Danger")</x:f>
        <x:v>OK</x:v>
      </x:c>
      <x:c r="E11" s="73" t="str">
        <x:v>≥ 5 900 ₽</x:v>
      </x:c>
      <x:c r="F11" s="73" t="str">
        <x:v>Revenue / paid users</x:v>
      </x:c>
      <x:c r="G11" s="73" t="str">
        <x:v>Средний чек</x:v>
      </x:c>
      <x:c r="H11" s="73" t="str">
        <x:v>critical</x:v>
      </x:c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3" t="str">
        <x:v>Revenue</x:v>
      </x:c>
      <x:c r="B12" s="131" t="n">
        <x:f>Unit_Economics!C10</x:f>
        <x:v>113636.36363636365</x:v>
      </x:c>
      <x:c r="C12" s="73" t="str">
        <x:v>₽/год</x:v>
      </x:c>
      <x:c r="D12" s="73" t="str">
        <x:f>IF(B12&lt;=15000,"OK","Watch")</x:f>
        <x:v>Watch</x:v>
      </x:c>
      <x:c r="E12" s="73" t="str">
        <x:v>≥ operating costs</x:v>
      </x:c>
      <x:c r="F12" s="73" t="str">
        <x:v>Annual recognized revenue</x:v>
      </x:c>
      <x:c r="G12" s="73" t="str">
        <x:v>Годовая выручка</x:v>
      </x:c>
      <x:c r="H12" s="73" t="str">
        <x:v>critical</x:v>
      </x:c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3" t="str">
        <x:v>Gross Profit</x:v>
      </x:c>
      <x:c r="B13" s="131" t="n">
        <x:f>Unit_Economics!C11</x:f>
        <x:v>103860</x:v>
      </x:c>
      <x:c r="C13" s="73" t="str">
        <x:v>₽/год</x:v>
      </x:c>
      <x:c r="D13" s="73" t="str">
        <x:f>IF(B13&gt;=60000,"OK","Watch")</x:f>
        <x:v>OK</x:v>
      </x:c>
      <x:c r="E13" s="73" t="str">
        <x:v>&gt; 0</x:v>
      </x:c>
      <x:c r="F13" s="73" t="str">
        <x:v>Revenue - COGS</x:v>
      </x:c>
      <x:c r="G13" s="73" t="str">
        <x:v>Есть ли валовая прибыль</x:v>
      </x:c>
      <x:c r="H13" s="73" t="str">
        <x:v>critical</x:v>
      </x:c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3" t="str">
        <x:v>CAC</x:v>
      </x:c>
      <x:c r="B14" s="132" t="n">
        <x:f>Unit_Economics!C12</x:f>
        <x:v>0.9139679999999999</x:v>
      </x:c>
      <x:c r="C14" s="73" t="str">
        <x:v>₽/клиент</x:v>
      </x:c>
      <x:c r="D14" s="73" t="str">
        <x:f>IF(B14&gt;=3,"OK",IF(B14&gt;=2,"Watch","Danger"))</x:f>
        <x:v>Danger</x:v>
      </x:c>
      <x:c r="E14" s="73" t="str">
        <x:v>≤ 15 000 ₽</x:v>
      </x:c>
      <x:c r="F14" s="73" t="str">
        <x:v>Marketing+sales/new paid</x:v>
      </x:c>
      <x:c r="G14" s="73" t="str">
        <x:v>Цена привлечения клиента</x:v>
      </x:c>
      <x:c r="H14" s="73" t="str">
        <x:v>critical</x:v>
      </x:c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3" t="str">
        <x:v>LTV</x:v>
      </x:c>
      <x:c r="B15" s="89" t="n">
        <x:f>Unit_Economics!C14</x:f>
        <x:v>0.05</x:v>
      </x:c>
      <x:c r="C15" s="73" t="str">
        <x:v>₽/клиент</x:v>
      </x:c>
      <x:c r="D15" s="73" t="str">
        <x:f>IF(B15&lt;=0.05,"OK","Watch")</x:f>
        <x:v>OK</x:v>
      </x:c>
      <x:c r="E15" s="73" t="str">
        <x:v>≥ 60 000 ₽</x:v>
      </x:c>
      <x:c r="F15" s="73" t="str">
        <x:v>ARPPU*GM/churn</x:v>
      </x:c>
      <x:c r="G15" s="73" t="str">
        <x:v>Ценность клиента</x:v>
      </x:c>
      <x:c r="H15" s="73" t="str">
        <x:v>critical</x:v>
      </x:c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3" t="str">
        <x:v>LTV/CAC</x:v>
      </x:c>
      <x:c r="B16" s="89" t="n">
        <x:f>Unit_Economics!C15</x:f>
        <x:v>0.95</x:v>
      </x:c>
      <x:c r="C16" s="73" t="str">
        <x:v>x</x:v>
      </x:c>
      <x:c r="D16" s="73" t="str">
        <x:f>IF(B16&gt;=0.95,"OK","Watch")</x:f>
        <x:v>OK</x:v>
      </x:c>
      <x:c r="E16" s="73" t="str">
        <x:v>≥ 3x</x:v>
      </x:c>
      <x:c r="F16" s="73" t="str">
        <x:v>LTV / CAC</x:v>
      </x:c>
      <x:c r="G16" s="73" t="str">
        <x:v>Здоровье модели</x:v>
      </x:c>
      <x:c r="H16" s="73" t="str">
        <x:v>critical</x:v>
      </x:c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3" t="str">
        <x:v>Churn</x:v>
      </x:c>
      <x:c r="B17" s="89" t="n">
        <x:f>Unit_Economics!C9</x:f>
        <x:v>0.7526086956521739</x:v>
      </x:c>
      <x:c r="C17" s="73" t="str">
        <x:v>%/мес</x:v>
      </x:c>
      <x:c r="D17" s="73" t="str">
        <x:f>IF(B17&gt;=0.75,"OK","Watch")</x:f>
        <x:v>OK</x:v>
      </x:c>
      <x:c r="E17" s="73" t="str">
        <x:v>≤ 5%</x:v>
      </x:c>
      <x:c r="F17" s="73" t="str">
        <x:v>Scenario churn</x:v>
      </x:c>
      <x:c r="G17" s="73" t="str">
        <x:v>Удержание клиентов</x:v>
      </x:c>
      <x:c r="H17" s="73" t="str">
        <x:v>critical</x:v>
      </x:c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3" t="str">
        <x:v>Retention</x:v>
      </x:c>
      <x:c r="B18" s="89" t="n">
        <x:f>Unit_Economics!C16</x:f>
        <x:v>-1.781089490219925</x:v>
      </x:c>
      <x:c r="C18" s="73" t="str">
        <x:v>%/мес</x:v>
      </x:c>
      <x:c r="D18" s="73" t="str">
        <x:f>IF(B18&gt;=0,"OK","Danger")</x:f>
        <x:v>Danger</x:v>
      </x:c>
      <x:c r="E18" s="73" t="str">
        <x:v>≥ 95%</x:v>
      </x:c>
      <x:c r="F18" s="73" t="str">
        <x:v>1-churn</x:v>
      </x:c>
      <x:c r="G18" s="73" t="str">
        <x:v>Месячное удержание</x:v>
      </x:c>
      <x:c r="H18" s="73" t="str">
        <x:v>critical</x:v>
      </x:c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3" t="str">
        <x:v>Gross Margin</x:v>
      </x:c>
      <x:c r="B19" s="131" t="n">
        <x:f>Unit_Economics!C17</x:f>
        <x:v>421291.456</x:v>
      </x:c>
      <x:c r="C19" s="73" t="str">
        <x:v>%</x:v>
      </x:c>
      <x:c r="D19" s="73" t="str">
        <x:f>IF(B19&lt;=300000,"OK","Watch")</x:f>
        <x:v>Watch</x:v>
      </x:c>
      <x:c r="E19" s="73" t="str">
        <x:v>≥ 75%</x:v>
      </x:c>
      <x:c r="F19" s="73" t="str">
        <x:v>Gross profit/revenue</x:v>
      </x:c>
      <x:c r="G19" s="73" t="str">
        <x:v>Валовая маржа</x:v>
      </x:c>
      <x:c r="H19" s="73" t="str">
        <x:v>high</x:v>
      </x:c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3" t="str">
        <x:v>Contribution Margin</x:v>
      </x:c>
      <x:c r="B20" s="133" t="n">
        <x:f>Unit_Economics!C18</x:f>
        <x:v>2.136288280197166</x:v>
      </x:c>
      <x:c r="C20" s="73" t="str">
        <x:v>%</x:v>
      </x:c>
      <x:c r="D20" s="73" t="str">
        <x:f>IF(B20&gt;=6,"OK","Danger")</x:f>
        <x:v>Danger</x:v>
      </x:c>
      <x:c r="E20" s="73" t="str">
        <x:v>≥ 0%</x:v>
      </x:c>
      <x:c r="F20" s="73" t="str">
        <x:v>Contribution/revenue</x:v>
      </x:c>
      <x:c r="G20" s="73" t="str">
        <x:v>После продаж и маркетинга</x:v>
      </x:c>
      <x:c r="H20" s="73" t="str">
        <x:v>high</x:v>
      </x:c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3" t="str">
        <x:v>Burn Rate</x:v>
      </x:c>
      <x:c r="B21" s="88" t="n">
        <x:f>Unit_Economics!C19</x:f>
        <x:v>100.13479684190256</x:v>
      </x:c>
      <x:c r="C21" s="73" t="str">
        <x:v>₽/мес</x:v>
      </x:c>
      <x:c r="D21" s="73" t="str">
        <x:f>IF(B21&lt;=50,"OK","Watch")</x:f>
        <x:v>Watch</x:v>
      </x:c>
      <x:c r="E21" s="73" t="str">
        <x:v>≤ 300 000 ₽</x:v>
      </x:c>
      <x:c r="F21" s="73" t="str">
        <x:v>Monthly burn</x:v>
      </x:c>
      <x:c r="G21" s="73" t="str">
        <x:v>Скорость сжигания денег</x:v>
      </x:c>
      <x:c r="H21" s="73" t="str">
        <x:v>critical</x:v>
      </x:c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3" t="str">
        <x:v>Runway</x:v>
      </x:c>
      <x:c r="B22" s="131" t="n">
        <x:f>Unit_Economics!C18</x:f>
        <x:v>2.136288280197166</x:v>
      </x:c>
      <x:c r="C22" s="73" t="str">
        <x:v>месяцы</x:v>
      </x:c>
      <x:c r="D22" s="73" t="str">
        <x:f>IF(B20&gt;=6,"OK","Danger")</x:f>
        <x:v>Danger</x:v>
      </x:c>
      <x:c r="E22" s="73" t="str">
        <x:v>≥ 6 мес.</x:v>
      </x:c>
      <x:c r="F22" s="73" t="str">
        <x:v>Cash / burn</x:v>
      </x:c>
      <x:c r="G22" s="73" t="str">
        <x:v>Запас времени</x:v>
      </x:c>
      <x:c r="H22" s="73" t="str">
        <x:v>critical</x:v>
      </x:c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3" t="str">
        <x:v>Break-even point</x:v>
      </x:c>
      <x:c r="B23" s="73" t="n">
        <x:f>Unit_Economics!C17</x:f>
        <x:v>421291.456</x:v>
      </x:c>
      <x:c r="C23" s="73" t="str">
        <x:v>клиенты</x:v>
      </x:c>
      <x:c r="D23" s="73" t="str">
        <x:f>IF(B21&lt;=50,"OK","Watch")</x:f>
        <x:v>Watch</x:v>
      </x:c>
      <x:c r="E23" s="73" t="str">
        <x:v>≤ 50 клиентов</x:v>
      </x:c>
      <x:c r="F23" s="73" t="str">
        <x:v>Operating costs / GP/customer</x:v>
      </x:c>
      <x:c r="G23" s="73" t="str">
        <x:v>Сколько клиентов до нуля</x:v>
      </x:c>
      <x:c r="H23" s="73" t="str">
        <x:v>critical</x:v>
      </x:c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3" t="str">
        <x:v>Реальная стартовая цена</x:v>
      </x:c>
      <x:c r="B24" s="73" t="n">
        <x:f>Assumptions!C33</x:f>
        <x:v>29900</x:v>
      </x:c>
      <x:c r="C24" s="73" t="str">
        <x:v>₽/сезон</x:v>
      </x:c>
      <x:c r="D24" s="73" t="str">
        <x:f>IF(B22&gt;=29900,"OK","Watch")</x:f>
        <x:v>Watch</x:v>
      </x:c>
      <x:c r="E24" s="73" t="str">
        <x:v>29 900 ₽+</x:v>
      </x:c>
      <x:c r="F24" s="73" t="str">
        <x:v>Pricing reality</x:v>
      </x:c>
      <x:c r="G24" s="73" t="str">
        <x:v>Рекомендуемый первый оффер</x:v>
      </x:c>
      <x:c r="H24" s="73" t="str">
        <x:v>critical</x:v>
      </x:c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H1"/>
  </x:mergeCells>
  <x:conditionalFormatting sqref="D4:D24">
    <x:cfRule type="expression" dxfId="0" priority="1">
      <x:formula>D4="OK"</x:formula>
    </x:cfRule>
    <x:cfRule type="expression" dxfId="1" priority="2">
      <x:formula>D4="Watch"</x:formula>
    </x:cfRule>
    <x:cfRule type="expression" dxfId="2" priority="3">
      <x:formula>D4="Danger"</x:formula>
    </x:cfRule>
    <x:cfRule type="expression" dxfId="3" priority="4">
      <x:formula>D4="Not reached"</x:formula>
    </x:cfRule>
    <x:cfRule type="expression" dxfId="4" priority="5">
      <x:formula>D4="Break-even"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5d7a434caa47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36" hidden="0" customWidth="1"/>
    <x:col min="6" max="6" width="44" hidden="0" customWidth="1"/>
  </x:cols>
  <x:sheetData>
    <x:row r="1">
      <x:c r="A1" s="70" t="str">
        <x:v>Недостающие данные, AI assumptions и warnings</x:v>
      </x:c>
      <x:c r="B1" s="70"/>
      <x:c r="C1" s="70"/>
      <x:c r="D1" s="70"/>
      <x:c r="E1" s="70"/>
      <x:c r="F1" s="70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Тип</x:v>
      </x:c>
      <x:c r="B3" s="72" t="str">
        <x:v>Пункт</x:v>
      </x:c>
      <x:c r="C3" s="72" t="str">
        <x:v>Описание</x:v>
      </x:c>
      <x:c r="D3" s="72" t="str">
        <x:v>Влияние</x:v>
      </x:c>
      <x:c r="E3" s="72" t="str">
        <x:v>Что проверить</x:v>
      </x:c>
      <x:c r="F3" s="72" t="str">
        <x:v>Источник / ссылка</x:v>
      </x:c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3" t="str">
        <x:v>Missing data</x:v>
      </x:c>
      <x:c r="B4" s="73" t="str">
        <x:v>Платежеспособные организаторы</x:v>
      </x:c>
      <x:c r="C4" s="73" t="str">
        <x:v>900 организаторов — это не обязательно 900 платящих аккаунтов</x:v>
      </x:c>
      <x:c r="D4" s="73" t="str">
        <x:v>high</x:v>
      </x:c>
      <x:c r="E4" s="73" t="str">
        <x:v>Найти 50–100 ICP и оценить реальные сегменты</x:v>
      </x:c>
      <x:c r="F4" s="73" t="str">
        <x:v>user input</x:v>
      </x:c>
      <x:c r="G4" s="71"/>
      <x:c r="H4" s="71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3" t="str">
        <x:v>Missing data</x:v>
      </x:c>
      <x:c r="B5" s="73" t="str">
        <x:v>CAC по каналам</x:v>
      </x:c>
      <x:c r="C5" s="73" t="str">
        <x:v>Нет реальных данных по Telegram/VK/Яндекс</x:v>
      </x:c>
      <x:c r="D5" s="73" t="str">
        <x:v>high</x:v>
      </x:c>
      <x:c r="E5" s="73" t="str">
        <x:v>Запустить 3 канала с tracking</x:v>
      </x:c>
      <x:c r="F5" s="73" t="str">
        <x:v>AI assumption</x:v>
      </x:c>
      <x:c r="G5" s="71"/>
      <x:c r="H5" s="71"/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3" t="str">
        <x:v>Missing data</x:v>
      </x:c>
      <x:c r="B6" s="73" t="str">
        <x:v>Season retention</x:v>
      </x:c>
      <x:c r="C6" s="73" t="str">
        <x:v>Классический monthly churn может искажать сезонную модель</x:v>
      </x:c>
      <x:c r="D6" s="73" t="str">
        <x:v>high</x:v>
      </x:c>
      <x:c r="E6" s="73" t="str">
        <x:v>Считать возврат на следующий лагерь/сезон</x:v>
      </x:c>
      <x:c r="F6" s="73" t="str">
        <x:v>AI assumption</x:v>
      </x:c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3" t="str">
        <x:v>AI assumption</x:v>
      </x:c>
      <x:c r="B7" s="73" t="str">
        <x:v>Activation → Paid = 20%</x:v>
      </x:c>
      <x:c r="C7" s="73" t="str">
        <x:v>Взято как рабочая гипотеза для founder-led SaaS</x:v>
      </x:c>
      <x:c r="D7" s="73" t="str">
        <x:v>high</x:v>
      </x:c>
      <x:c r="E7" s="73" t="str">
        <x:v>Пилот: 10 демо → сколько оплат</x:v>
      </x:c>
      <x:c r="F7" s="73" t="str">
        <x:v>benchmark estimate</x:v>
      </x:c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3" t="str">
        <x:v>AI assumption</x:v>
      </x:c>
      <x:c r="B8" s="73" t="str">
        <x:v>Gross margin = 75%</x:v>
      </x:c>
      <x:c r="C8" s="73" t="str">
        <x:v>У раннего SaaS поддержка может съедать маржу</x:v>
      </x:c>
      <x:c r="D8" s="73" t="str">
        <x:v>medium</x:v>
      </x:c>
      <x:c r="E8" s="73" t="str">
        <x:v>Замерить support hours/user</x:v>
      </x:c>
      <x:c r="F8" s="73" t="str">
        <x:v>benchmark estimate</x:v>
      </x:c>
      <x:c r="G8" s="71"/>
      <x:c r="H8" s="71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3" t="str">
        <x:v>Warning</x:v>
      </x:c>
      <x:c r="B9" s="73" t="str">
        <x:v>Цена ниже 5 900 ₽/мес</x:v>
      </x:c>
      <x:c r="C9" s="73" t="str">
        <x:v>Может выглядеть дружелюбно, но плохо окупает поддержку</x:v>
      </x:c>
      <x:c r="D9" s="73" t="str">
        <x:v>high</x:v>
      </x:c>
      <x:c r="E9" s="73" t="str">
        <x:v>Проверить сезонный пакет 29 900 ₽</x:v>
      </x:c>
      <x:c r="F9" s="73" t="str">
        <x:v>AI recommendation</x:v>
      </x:c>
      <x:c r="G9" s="71"/>
      <x:c r="H9" s="71"/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3" t="str">
        <x:v>Warning</x:v>
      </x:c>
      <x:c r="B10" s="73" t="str">
        <x:v>Комиссия с продаж</x:v>
      </x:c>
      <x:c r="C10" s="73" t="str">
        <x:v>На старте может пугать малых организаторов</x:v>
      </x:c>
      <x:c r="D10" s="73" t="str">
        <x:v>medium</x:v>
      </x:c>
      <x:c r="E10" s="73" t="str">
        <x:v>Тестировать позже как add-on к оплатам</x:v>
      </x:c>
      <x:c r="F10" s="73" t="str">
        <x:v>AI recommendation</x:v>
      </x:c>
      <x:c r="G10" s="71"/>
      <x:c r="H10" s="71"/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3" t="str">
        <x:v>Warning</x:v>
      </x:c>
      <x:c r="B11" s="73" t="str">
        <x:v>29 000 лагерей</x:v>
      </x:c>
      <x:c r="C11" s="73" t="str">
        <x:v>Это размер активности, но не число покупателей</x:v>
      </x:c>
      <x:c r="D11" s="73" t="str">
        <x:v>high</x:v>
      </x:c>
      <x:c r="E11" s="73" t="str">
        <x:v>Считать по организаторам и частоте выездов</x:v>
      </x:c>
      <x:c r="F11" s="73" t="str">
        <x:v>user input</x:v>
      </x:c>
      <x:c r="G11" s="71"/>
      <x:c r="H11" s="71"/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3" t="str">
        <x:v>Validate first</x:v>
      </x:c>
      <x:c r="B12" s="73" t="str">
        <x:v>Карточка семьи + расчет + оплата</x:v>
      </x:c>
      <x:c r="C12" s="73" t="str">
        <x:v>Главная продуктовая ценность по интервью</x:v>
      </x:c>
      <x:c r="D12" s="73" t="str">
        <x:v>critical</x:v>
      </x:c>
      <x:c r="E12" s="73" t="str">
        <x:v>Table teardown + пилот</x:v>
      </x:c>
      <x:c r="F12" s="73" t="str">
        <x:v>uploaded discovery docs</x:v>
      </x:c>
      <x:c r="G12" s="71"/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3" t="str">
        <x:v>Validate first</x:v>
      </x:c>
      <x:c r="B13" s="73" t="str">
        <x:v>Платеж за сезон</x:v>
      </x:c>
      <x:c r="C13" s="73" t="str">
        <x:v>Сезонный пакет может быть психологически проще подписки</x:v>
      </x:c>
      <x:c r="D13" s="73" t="str">
        <x:v>high</x:v>
      </x:c>
      <x:c r="E13" s="73" t="str">
        <x:v>Предложить 14 900 / 29 900 / 69 000</x:v>
      </x:c>
      <x:c r="F13" s="73" t="str">
        <x:v>AI recommendation</x:v>
      </x:c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3" t="str">
        <x:v>Source</x:v>
      </x:c>
      <x:c r="B14" s="73" t="str">
        <x:v>GetCourse official pricing</x:v>
      </x:c>
      <x:c r="C14" s="73" t="str">
        <x:v>Старт 5 900 ₽/мес; похожий якорь для онлайн/education tools</x:v>
      </x:c>
      <x:c r="D14" s="73" t="str">
        <x:v>medium</x:v>
      </x:c>
      <x:c r="E14" s="73" t="str">
        <x:v>Сравнить воспринимаемую ценность</x:v>
      </x:c>
      <x:c r="F14" s="73" t="str">
        <x:v>https://getcourse.ru/prices</x:v>
      </x:c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3" t="str">
        <x:v>Source</x:v>
      </x:c>
      <x:c r="B15" s="73" t="str">
        <x:v>Retreat Guru pricing</x:v>
      </x:c>
      <x:c r="C15" s="73" t="str">
        <x:v>1% bookings, minimum $220/mo; подтверждает hybrid/commission модель</x:v>
      </x:c>
      <x:c r="D15" s="73" t="str">
        <x:v>medium</x:v>
      </x:c>
      <x:c r="E15" s="73" t="str">
        <x:v>Не копировать сразу, использовать как benchmark</x:v>
      </x:c>
      <x:c r="F15" s="73" t="str">
        <x:v>https://software.retreat.guru/pricing</x:v>
      </x:c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3" t="str">
        <x:v>Source</x:v>
      </x:c>
      <x:c r="B16" s="73" t="str">
        <x:v>CampMinder pricing</x:v>
      </x:c>
      <x:c r="C16" s="73" t="str">
        <x:v>Цена зависит от факторов лагеря и per-camper framework</x:v>
      </x:c>
      <x:c r="D16" s="73" t="str">
        <x:v>medium</x:v>
      </x:c>
      <x:c r="E16" s="73" t="str">
        <x:v>Позже тестировать size-based pricing</x:v>
      </x:c>
      <x:c r="F16" s="73" t="str">
        <x:v>https://campminder.com/suites/</x:v>
      </x:c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13355d08bb3480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0" t="str">
        <x:v>Sensitivity analysis: LTV/CAC при разных churn и conversion to paid</x:v>
      </x:c>
      <x:c r="B1" s="70"/>
      <x:c r="C1" s="70"/>
      <x:c r="D1" s="70"/>
      <x:c r="E1" s="70"/>
      <x:c r="F1" s="70"/>
      <x:c r="G1" s="70"/>
      <x:c r="H1" s="70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Monthly churn \ Activation→Paid</x:v>
      </x:c>
      <x:c r="B3" s="138" t="n">
        <x:v>0.1</x:v>
      </x:c>
      <x:c r="C3" s="138" t="n">
        <x:v>0.15</x:v>
      </x:c>
      <x:c r="D3" s="138" t="n">
        <x:v>0.2</x:v>
      </x:c>
      <x:c r="E3" s="138" t="n">
        <x:v>0.25</x:v>
      </x:c>
      <x:c r="F3" s="138" t="n">
        <x:v>0.3</x:v>
      </x:c>
      <x:c r="G3" s="138" t="n">
        <x:v>0.35</x:v>
      </x:c>
      <x:c r="H3" s="138" t="n">
        <x:v>0.4</x:v>
      </x:c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108" t="n">
        <x:v>0.03</x:v>
      </x:c>
      <x:c r="B4" s="106" t="n">
        <x:f>IFERROR((Scenarios!$H$10*Scenarios!$H$14/$A4)/(((Scenarios!$H$11+Scenarios!$H$12)/(Scenarios!$H$4*Scenarios!$H$5*Scenarios!$H$6*Scenarios!$H$7*B$3))),0)</x:f>
        <x:v>0.759</x:v>
      </x:c>
      <x:c r="C4" s="106" t="n">
        <x:f>IFERROR((Scenarios!$H$10*Scenarios!$H$14/$A4)/(((Scenarios!$H$11+Scenarios!$H$12)/(Scenarios!$H$4*Scenarios!$H$5*Scenarios!$H$6*Scenarios!$H$7*C$3))),0)</x:f>
        <x:v>1.1385</x:v>
      </x:c>
      <x:c r="D4" s="106" t="n">
        <x:f>IFERROR((Scenarios!$H$10*Scenarios!$H$14/$A4)/(((Scenarios!$H$11+Scenarios!$H$12)/(Scenarios!$H$4*Scenarios!$H$5*Scenarios!$H$6*Scenarios!$H$7*D$3))),0)</x:f>
        <x:v>1.518</x:v>
      </x:c>
      <x:c r="E4" s="106" t="n">
        <x:f>IFERROR((Scenarios!$H$10*Scenarios!$H$14/$A4)/(((Scenarios!$H$11+Scenarios!$H$12)/(Scenarios!$H$4*Scenarios!$H$5*Scenarios!$H$6*Scenarios!$H$7*E$3))),0)</x:f>
        <x:v>1.8975</x:v>
      </x:c>
      <x:c r="F4" s="106" t="n">
        <x:f>IFERROR((Scenarios!$H$10*Scenarios!$H$14/$A4)/(((Scenarios!$H$11+Scenarios!$H$12)/(Scenarios!$H$4*Scenarios!$H$5*Scenarios!$H$6*Scenarios!$H$7*F$3))),0)</x:f>
        <x:v>2.277</x:v>
      </x:c>
      <x:c r="G4" s="106" t="n">
        <x:f>IFERROR((Scenarios!$H$10*Scenarios!$H$14/$A4)/(((Scenarios!$H$11+Scenarios!$H$12)/(Scenarios!$H$4*Scenarios!$H$5*Scenarios!$H$6*Scenarios!$H$7*G$3))),0)</x:f>
        <x:v>2.6565</x:v>
      </x:c>
      <x:c r="H4" s="106" t="n">
        <x:f>IFERROR((Scenarios!$H$10*Scenarios!$H$14/$A4)/(((Scenarios!$H$11+Scenarios!$H$12)/(Scenarios!$H$4*Scenarios!$H$5*Scenarios!$H$6*Scenarios!$H$7*H$3))),0)</x:f>
        <x:v>3.036</x:v>
      </x:c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108" t="n">
        <x:v>0.04</x:v>
      </x:c>
      <x:c r="B5" s="106" t="n">
        <x:f>IFERROR((Scenarios!$H$10*Scenarios!$H$14/$A5)/(((Scenarios!$H$11+Scenarios!$H$12)/(Scenarios!$H$4*Scenarios!$H$5*Scenarios!$H$6*Scenarios!$H$7*B$3))),0)</x:f>
        <x:v>0.56925</x:v>
      </x:c>
      <x:c r="C5" s="106" t="n">
        <x:f>IFERROR((Scenarios!$H$10*Scenarios!$H$14/$A5)/(((Scenarios!$H$11+Scenarios!$H$12)/(Scenarios!$H$4*Scenarios!$H$5*Scenarios!$H$6*Scenarios!$H$7*C$3))),0)</x:f>
        <x:v>0.8538749999999999</x:v>
      </x:c>
      <x:c r="D5" s="106" t="n">
        <x:f>IFERROR((Scenarios!$H$10*Scenarios!$H$14/$A5)/(((Scenarios!$H$11+Scenarios!$H$12)/(Scenarios!$H$4*Scenarios!$H$5*Scenarios!$H$6*Scenarios!$H$7*D$3))),0)</x:f>
        <x:v>1.1385</x:v>
      </x:c>
      <x:c r="E5" s="106" t="n">
        <x:f>IFERROR((Scenarios!$H$10*Scenarios!$H$14/$A5)/(((Scenarios!$H$11+Scenarios!$H$12)/(Scenarios!$H$4*Scenarios!$H$5*Scenarios!$H$6*Scenarios!$H$7*E$3))),0)</x:f>
        <x:v>1.423125</x:v>
      </x:c>
      <x:c r="F5" s="106" t="n">
        <x:f>IFERROR((Scenarios!$H$10*Scenarios!$H$14/$A5)/(((Scenarios!$H$11+Scenarios!$H$12)/(Scenarios!$H$4*Scenarios!$H$5*Scenarios!$H$6*Scenarios!$H$7*F$3))),0)</x:f>
        <x:v>1.7077499999999999</x:v>
      </x:c>
      <x:c r="G5" s="106" t="n">
        <x:f>IFERROR((Scenarios!$H$10*Scenarios!$H$14/$A5)/(((Scenarios!$H$11+Scenarios!$H$12)/(Scenarios!$H$4*Scenarios!$H$5*Scenarios!$H$6*Scenarios!$H$7*G$3))),0)</x:f>
        <x:v>1.9923749999999998</x:v>
      </x:c>
      <x:c r="H5" s="106" t="n">
        <x:f>IFERROR((Scenarios!$H$10*Scenarios!$H$14/$A5)/(((Scenarios!$H$11+Scenarios!$H$12)/(Scenarios!$H$4*Scenarios!$H$5*Scenarios!$H$6*Scenarios!$H$7*H$3))),0)</x:f>
        <x:v>2.277</x:v>
      </x:c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108" t="n">
        <x:v>0.05</x:v>
      </x:c>
      <x:c r="B6" s="106" t="n">
        <x:f>IFERROR((Scenarios!$H$10*Scenarios!$H$14/$A6)/(((Scenarios!$H$11+Scenarios!$H$12)/(Scenarios!$H$4*Scenarios!$H$5*Scenarios!$H$6*Scenarios!$H$7*B$3))),0)</x:f>
        <x:v>0.4554</x:v>
      </x:c>
      <x:c r="C6" s="106" t="n">
        <x:f>IFERROR((Scenarios!$H$10*Scenarios!$H$14/$A6)/(((Scenarios!$H$11+Scenarios!$H$12)/(Scenarios!$H$4*Scenarios!$H$5*Scenarios!$H$6*Scenarios!$H$7*C$3))),0)</x:f>
        <x:v>0.6830999999999999</x:v>
      </x:c>
      <x:c r="D6" s="106" t="n">
        <x:f>IFERROR((Scenarios!$H$10*Scenarios!$H$14/$A6)/(((Scenarios!$H$11+Scenarios!$H$12)/(Scenarios!$H$4*Scenarios!$H$5*Scenarios!$H$6*Scenarios!$H$7*D$3))),0)</x:f>
        <x:v>0.9108</x:v>
      </x:c>
      <x:c r="E6" s="106" t="n">
        <x:f>IFERROR((Scenarios!$H$10*Scenarios!$H$14/$A6)/(((Scenarios!$H$11+Scenarios!$H$12)/(Scenarios!$H$4*Scenarios!$H$5*Scenarios!$H$6*Scenarios!$H$7*E$3))),0)</x:f>
        <x:v>1.1385</x:v>
      </x:c>
      <x:c r="F6" s="106" t="n">
        <x:f>IFERROR((Scenarios!$H$10*Scenarios!$H$14/$A6)/(((Scenarios!$H$11+Scenarios!$H$12)/(Scenarios!$H$4*Scenarios!$H$5*Scenarios!$H$6*Scenarios!$H$7*F$3))),0)</x:f>
        <x:v>1.3661999999999999</x:v>
      </x:c>
      <x:c r="G6" s="106" t="n">
        <x:f>IFERROR((Scenarios!$H$10*Scenarios!$H$14/$A6)/(((Scenarios!$H$11+Scenarios!$H$12)/(Scenarios!$H$4*Scenarios!$H$5*Scenarios!$H$6*Scenarios!$H$7*G$3))),0)</x:f>
        <x:v>1.5938999999999999</x:v>
      </x:c>
      <x:c r="H6" s="106" t="n">
        <x:f>IFERROR((Scenarios!$H$10*Scenarios!$H$14/$A6)/(((Scenarios!$H$11+Scenarios!$H$12)/(Scenarios!$H$4*Scenarios!$H$5*Scenarios!$H$6*Scenarios!$H$7*H$3))),0)</x:f>
        <x:v>1.8216</x:v>
      </x:c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108" t="n">
        <x:v>0.06</x:v>
      </x:c>
      <x:c r="B7" s="106" t="n">
        <x:f>IFERROR((Scenarios!$H$10*Scenarios!$H$14/$A7)/(((Scenarios!$H$11+Scenarios!$H$12)/(Scenarios!$H$4*Scenarios!$H$5*Scenarios!$H$6*Scenarios!$H$7*B$3))),0)</x:f>
        <x:v>0.3795</x:v>
      </x:c>
      <x:c r="C7" s="106" t="n">
        <x:f>IFERROR((Scenarios!$H$10*Scenarios!$H$14/$A7)/(((Scenarios!$H$11+Scenarios!$H$12)/(Scenarios!$H$4*Scenarios!$H$5*Scenarios!$H$6*Scenarios!$H$7*C$3))),0)</x:f>
        <x:v>0.56925</x:v>
      </x:c>
      <x:c r="D7" s="106" t="n">
        <x:f>IFERROR((Scenarios!$H$10*Scenarios!$H$14/$A7)/(((Scenarios!$H$11+Scenarios!$H$12)/(Scenarios!$H$4*Scenarios!$H$5*Scenarios!$H$6*Scenarios!$H$7*D$3))),0)</x:f>
        <x:v>0.759</x:v>
      </x:c>
      <x:c r="E7" s="106" t="n">
        <x:f>IFERROR((Scenarios!$H$10*Scenarios!$H$14/$A7)/(((Scenarios!$H$11+Scenarios!$H$12)/(Scenarios!$H$4*Scenarios!$H$5*Scenarios!$H$6*Scenarios!$H$7*E$3))),0)</x:f>
        <x:v>0.94875</x:v>
      </x:c>
      <x:c r="F7" s="106" t="n">
        <x:f>IFERROR((Scenarios!$H$10*Scenarios!$H$14/$A7)/(((Scenarios!$H$11+Scenarios!$H$12)/(Scenarios!$H$4*Scenarios!$H$5*Scenarios!$H$6*Scenarios!$H$7*F$3))),0)</x:f>
        <x:v>1.1385</x:v>
      </x:c>
      <x:c r="G7" s="106" t="n">
        <x:f>IFERROR((Scenarios!$H$10*Scenarios!$H$14/$A7)/(((Scenarios!$H$11+Scenarios!$H$12)/(Scenarios!$H$4*Scenarios!$H$5*Scenarios!$H$6*Scenarios!$H$7*G$3))),0)</x:f>
        <x:v>1.32825</x:v>
      </x:c>
      <x:c r="H7" s="106" t="n">
        <x:f>IFERROR((Scenarios!$H$10*Scenarios!$H$14/$A7)/(((Scenarios!$H$11+Scenarios!$H$12)/(Scenarios!$H$4*Scenarios!$H$5*Scenarios!$H$6*Scenarios!$H$7*H$3))),0)</x:f>
        <x:v>1.518</x:v>
      </x:c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108" t="n">
        <x:v>0.08</x:v>
      </x:c>
      <x:c r="B8" s="106" t="n">
        <x:f>IFERROR((Scenarios!$H$10*Scenarios!$H$14/$A8)/(((Scenarios!$H$11+Scenarios!$H$12)/(Scenarios!$H$4*Scenarios!$H$5*Scenarios!$H$6*Scenarios!$H$7*B$3))),0)</x:f>
        <x:v>0.284625</x:v>
      </x:c>
      <x:c r="C8" s="106" t="n">
        <x:f>IFERROR((Scenarios!$H$10*Scenarios!$H$14/$A8)/(((Scenarios!$H$11+Scenarios!$H$12)/(Scenarios!$H$4*Scenarios!$H$5*Scenarios!$H$6*Scenarios!$H$7*C$3))),0)</x:f>
        <x:v>0.42693749999999997</x:v>
      </x:c>
      <x:c r="D8" s="106" t="n">
        <x:f>IFERROR((Scenarios!$H$10*Scenarios!$H$14/$A8)/(((Scenarios!$H$11+Scenarios!$H$12)/(Scenarios!$H$4*Scenarios!$H$5*Scenarios!$H$6*Scenarios!$H$7*D$3))),0)</x:f>
        <x:v>0.56925</x:v>
      </x:c>
      <x:c r="E8" s="106" t="n">
        <x:f>IFERROR((Scenarios!$H$10*Scenarios!$H$14/$A8)/(((Scenarios!$H$11+Scenarios!$H$12)/(Scenarios!$H$4*Scenarios!$H$5*Scenarios!$H$6*Scenarios!$H$7*E$3))),0)</x:f>
        <x:v>0.7115625</x:v>
      </x:c>
      <x:c r="F8" s="106" t="n">
        <x:f>IFERROR((Scenarios!$H$10*Scenarios!$H$14/$A8)/(((Scenarios!$H$11+Scenarios!$H$12)/(Scenarios!$H$4*Scenarios!$H$5*Scenarios!$H$6*Scenarios!$H$7*F$3))),0)</x:f>
        <x:v>0.8538749999999999</x:v>
      </x:c>
      <x:c r="G8" s="106" t="n">
        <x:f>IFERROR((Scenarios!$H$10*Scenarios!$H$14/$A8)/(((Scenarios!$H$11+Scenarios!$H$12)/(Scenarios!$H$4*Scenarios!$H$5*Scenarios!$H$6*Scenarios!$H$7*G$3))),0)</x:f>
        <x:v>0.9961874999999999</x:v>
      </x:c>
      <x:c r="H8" s="106" t="n">
        <x:f>IFERROR((Scenarios!$H$10*Scenarios!$H$14/$A8)/(((Scenarios!$H$11+Scenarios!$H$12)/(Scenarios!$H$4*Scenarios!$H$5*Scenarios!$H$6*Scenarios!$H$7*H$3))),0)</x:f>
        <x:v>1.1385</x:v>
      </x:c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108" t="n">
        <x:v>0.1</x:v>
      </x:c>
      <x:c r="B9" s="106" t="n">
        <x:f>IFERROR((Scenarios!$H$10*Scenarios!$H$14/$A9)/(((Scenarios!$H$11+Scenarios!$H$12)/(Scenarios!$H$4*Scenarios!$H$5*Scenarios!$H$6*Scenarios!$H$7*B$3))),0)</x:f>
        <x:v>0.2277</x:v>
      </x:c>
      <x:c r="C9" s="106" t="n">
        <x:f>IFERROR((Scenarios!$H$10*Scenarios!$H$14/$A9)/(((Scenarios!$H$11+Scenarios!$H$12)/(Scenarios!$H$4*Scenarios!$H$5*Scenarios!$H$6*Scenarios!$H$7*C$3))),0)</x:f>
        <x:v>0.34154999999999996</x:v>
      </x:c>
      <x:c r="D9" s="106" t="n">
        <x:f>IFERROR((Scenarios!$H$10*Scenarios!$H$14/$A9)/(((Scenarios!$H$11+Scenarios!$H$12)/(Scenarios!$H$4*Scenarios!$H$5*Scenarios!$H$6*Scenarios!$H$7*D$3))),0)</x:f>
        <x:v>0.4554</x:v>
      </x:c>
      <x:c r="E9" s="106" t="n">
        <x:f>IFERROR((Scenarios!$H$10*Scenarios!$H$14/$A9)/(((Scenarios!$H$11+Scenarios!$H$12)/(Scenarios!$H$4*Scenarios!$H$5*Scenarios!$H$6*Scenarios!$H$7*E$3))),0)</x:f>
        <x:v>0.56925</x:v>
      </x:c>
      <x:c r="F9" s="106" t="n">
        <x:f>IFERROR((Scenarios!$H$10*Scenarios!$H$14/$A9)/(((Scenarios!$H$11+Scenarios!$H$12)/(Scenarios!$H$4*Scenarios!$H$5*Scenarios!$H$6*Scenarios!$H$7*F$3))),0)</x:f>
        <x:v>0.6830999999999999</x:v>
      </x:c>
      <x:c r="G9" s="106" t="n">
        <x:f>IFERROR((Scenarios!$H$10*Scenarios!$H$14/$A9)/(((Scenarios!$H$11+Scenarios!$H$12)/(Scenarios!$H$4*Scenarios!$H$5*Scenarios!$H$6*Scenarios!$H$7*G$3))),0)</x:f>
        <x:v>0.7969499999999999</x:v>
      </x:c>
      <x:c r="H9" s="106" t="n">
        <x:f>IFERROR((Scenarios!$H$10*Scenarios!$H$14/$A9)/(((Scenarios!$H$11+Scenarios!$H$12)/(Scenarios!$H$4*Scenarios!$H$5*Scenarios!$H$6*Scenarios!$H$7*H$3))),0)</x:f>
        <x:v>0.9108</x:v>
      </x:c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1"/>
      <x:c r="B11" s="71"/>
      <x:c r="C11" s="71"/>
      <x:c r="D11" s="71"/>
      <x:c r="E11" s="71"/>
      <x:c r="F11" s="71"/>
      <x:c r="G11" s="71"/>
      <x:c r="H11" s="71"/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/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6c7ab3398f343f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22" hidden="0" customWidth="1"/>
    <x:col min="8" max="8" width="36" hidden="0" customWidth="1"/>
  </x:cols>
  <x:sheetData>
    <x:row r="1">
      <x:c r="A1" s="70" t="str">
        <x:v>Реальная оценка стоимости Tandora на основе рынка</x:v>
      </x:c>
      <x:c r="B1" s="70"/>
      <x:c r="C1" s="70"/>
      <x:c r="D1" s="70"/>
      <x:c r="E1" s="70"/>
      <x:c r="F1" s="70"/>
      <x:c r="G1" s="70"/>
      <x:c r="H1" s="70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</x:row>
    <x:row r="3">
      <x:c r="A3" s="72" t="str">
        <x:v>Уровень</x:v>
      </x:c>
      <x:c r="B3" s="72" t="str">
        <x:v>Цена</x:v>
      </x:c>
      <x:c r="C3" s="72" t="str">
        <x:v>Для кого</x:v>
      </x:c>
      <x:c r="D3" s="72" t="str">
        <x:v>Почему</x:v>
      </x:c>
      <x:c r="E3" s="72" t="str">
        <x:v>Риск</x:v>
      </x:c>
      <x:c r="F3" s="72" t="str">
        <x:v>Моя оценка</x:v>
      </x:c>
      <x:c r="G3" s="72" t="str">
        <x:v>Источник</x:v>
      </x:c>
      <x:c r="H3" s="72" t="str">
        <x:v>URL</x:v>
      </x:c>
      <x:c r="I3" s="71"/>
      <x:c r="J3" s="71"/>
      <x:c r="K3" s="71"/>
      <x:c r="L3" s="71"/>
      <x:c r="M3" s="71"/>
      <x:c r="N3" s="71"/>
      <x:c r="O3" s="71"/>
      <x:c r="P3" s="71"/>
      <x:c r="Q3" s="71"/>
      <x:c r="R3" s="71"/>
      <x:c r="S3" s="71"/>
      <x:c r="T3" s="71"/>
      <x:c r="U3" s="71"/>
      <x:c r="V3" s="71"/>
      <x:c r="W3" s="71"/>
      <x:c r="X3" s="71"/>
      <x:c r="Y3" s="71"/>
      <x:c r="Z3" s="71"/>
    </x:row>
    <x:row r="4">
      <x:c r="A4" s="73" t="str">
        <x:v>Pilot</x:v>
      </x:c>
      <x:c r="B4" s="73" t="str">
        <x:v>14 900 ₽ за лагерь</x:v>
      </x:c>
      <x:c r="C4" s="73" t="str">
        <x:v>До 15 семей, первые пилоты</x:v>
      </x:c>
      <x:c r="D4" s="73" t="str">
        <x:v>Низкий барьер, хорошо для проверки</x:v>
      </x:c>
      <x:c r="E4" s="73" t="str">
        <x:v>Может привлечь маленьких и шумных клиентов</x:v>
      </x:c>
      <x:c r="F4" s="73" t="str">
        <x:v>Использовать только как ограниченный пилот</x:v>
      </x:c>
      <x:c r="G4" s="73" t="str">
        <x:v>AI recommendation</x:v>
      </x:c>
      <x:c r="H4" s="73" t="str"/>
      <x:c r="I4" s="71"/>
      <x:c r="J4" s="71"/>
      <x:c r="K4" s="71"/>
      <x:c r="L4" s="71"/>
      <x:c r="M4" s="71"/>
      <x:c r="N4" s="71"/>
      <x:c r="O4" s="71"/>
      <x:c r="P4" s="71"/>
      <x:c r="Q4" s="71"/>
      <x:c r="R4" s="71"/>
      <x:c r="S4" s="71"/>
      <x:c r="T4" s="71"/>
      <x:c r="U4" s="71"/>
      <x:c r="V4" s="71"/>
      <x:c r="W4" s="71"/>
      <x:c r="X4" s="71"/>
      <x:c r="Y4" s="71"/>
      <x:c r="Z4" s="71"/>
    </x:row>
    <x:row r="5">
      <x:c r="A5" s="73" t="str">
        <x:v>Season</x:v>
      </x:c>
      <x:c r="B5" s="73" t="str">
        <x:v>29 900 ₽ за сезон/лагерь</x:v>
      </x:c>
      <x:c r="C5" s="73" t="str">
        <x:v>20–50 семей, 3+ выезда/год</x:v>
      </x:c>
      <x:c r="D5" s="73" t="str">
        <x:v>Психологически проще подписки; окупает CAC сразу</x:v>
      </x:c>
      <x:c r="E5" s="73" t="str">
        <x:v>Нужно доказать экономию времени/ошибок</x:v>
      </x:c>
      <x:c r="F5" s="73" t="str">
        <x:v>Главный стартовый оффер</x:v>
      </x:c>
      <x:c r="G5" s="73" t="str">
        <x:v>AI recommendation + user input</x:v>
      </x:c>
      <x:c r="H5" s="73" t="str"/>
      <x:c r="I5" s="71"/>
      <x:c r="J5" s="71"/>
      <x:c r="K5" s="71"/>
      <x:c r="L5" s="71"/>
      <x:c r="M5" s="71"/>
      <x:c r="N5" s="71"/>
      <x:c r="O5" s="71"/>
      <x:c r="P5" s="71"/>
      <x:c r="Q5" s="71"/>
      <x:c r="R5" s="71"/>
      <x:c r="S5" s="71"/>
      <x:c r="T5" s="71"/>
      <x:c r="U5" s="71"/>
      <x:c r="V5" s="71"/>
      <x:c r="W5" s="71"/>
      <x:c r="X5" s="71"/>
      <x:c r="Y5" s="71"/>
      <x:c r="Z5" s="71"/>
    </x:row>
    <x:row r="6">
      <x:c r="A6" s="73" t="str">
        <x:v>Pro Pilot</x:v>
      </x:c>
      <x:c r="B6" s="73" t="str">
        <x:v>69 000 ₽ за сезон</x:v>
      </x:c>
      <x:c r="C6" s="73" t="str">
        <x:v>50+ семей, команда, администраторы</x:v>
      </x:c>
      <x:c r="D6" s="73" t="str">
        <x:v>Продается как замена части ручной админ-работы</x:v>
      </x:c>
      <x:c r="E6" s="73" t="str">
        <x:v>Дольше продажа, больше требований</x:v>
      </x:c>
      <x:c r="F6" s="73" t="str">
        <x:v>Лучший B2B сегмент для выручки</x:v>
      </x:c>
      <x:c r="G6" s="73" t="str">
        <x:v>AI recommendation</x:v>
      </x:c>
      <x:c r="H6" s="73" t="str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1"/>
      <x:c r="W6" s="71"/>
      <x:c r="X6" s="71"/>
      <x:c r="Y6" s="71"/>
      <x:c r="Z6" s="71"/>
    </x:row>
    <x:row r="7">
      <x:c r="A7" s="73" t="str">
        <x:v>Monthly Start</x:v>
      </x:c>
      <x:c r="B7" s="73" t="str">
        <x:v>5 900 ₽/мес</x:v>
      </x:c>
      <x:c r="C7" s="73" t="str">
        <x:v>Малые/средние организаторы</x:v>
      </x:c>
      <x:c r="D7" s="73" t="str">
        <x:v>Совпадает с якорем GetCourse Start</x:v>
      </x:c>
      <x:c r="E7" s="73" t="str">
        <x:v>Если платят 1–2 месяца, LTV слабый</x:v>
      </x:c>
      <x:c r="F7" s="73" t="str">
        <x:v>Минимальная допустимая подписка</x:v>
      </x:c>
      <x:c r="G7" s="73" t="str">
        <x:v>GetCourse official pricing</x:v>
      </x:c>
      <x:c r="H7" s="73" t="str">
        <x:v>https://getcourse.ru/prices</x:v>
      </x:c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</x:row>
    <x:row r="8">
      <x:c r="A8" s="73" t="str">
        <x:v>Monthly Pro</x:v>
      </x:c>
      <x:c r="B8" s="73" t="str">
        <x:v>7 900–9 900 ₽/мес</x:v>
      </x:c>
      <x:c r="C8" s="73" t="str">
        <x:v>Несколько смен, команда</x:v>
      </x:c>
      <x:c r="D8" s="73" t="str">
        <x:v>Более здоровая экономика, меньше клиентов до BE</x:v>
      </x:c>
      <x:c r="E8" s="73" t="str">
        <x:v>Нужно сильное позиционирование value</x:v>
      </x:c>
      <x:c r="F8" s="73" t="str">
        <x:v>Лучше, чем 5 900 для SaaS</x:v>
      </x:c>
      <x:c r="G8" s="73" t="str">
        <x:v>Market benchmark</x:v>
      </x:c>
      <x:c r="H8" s="73" t="str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1"/>
      <x:c r="W8" s="71"/>
      <x:c r="X8" s="71"/>
      <x:c r="Y8" s="71"/>
      <x:c r="Z8" s="71"/>
    </x:row>
    <x:row r="9">
      <x:c r="A9" s="73" t="str">
        <x:v>Annual</x:v>
      </x:c>
      <x:c r="B9" s="73" t="str">
        <x:v>99 000 ₽/год</x:v>
      </x:c>
      <x:c r="C9" s="73" t="str">
        <x:v>Зрелые организаторы/клубы</x:v>
      </x:c>
      <x:c r="D9" s="73" t="str">
        <x:v>Снижает churn и сезонность cashflow</x:v>
      </x:c>
      <x:c r="E9" s="73" t="str">
        <x:v>Сложнее продать без доверия</x:v>
      </x:c>
      <x:c r="F9" s="73" t="str">
        <x:v>После 3–5 успешных пилотов</x:v>
      </x:c>
      <x:c r="G9" s="73" t="str">
        <x:v>AI recommendation</x:v>
      </x:c>
      <x:c r="H9" s="73" t="str"/>
      <x:c r="I9" s="71"/>
      <x:c r="J9" s="71"/>
      <x:c r="K9" s="71"/>
      <x:c r="L9" s="71"/>
      <x:c r="M9" s="71"/>
      <x:c r="N9" s="71"/>
      <x:c r="O9" s="71"/>
      <x:c r="P9" s="71"/>
      <x:c r="Q9" s="71"/>
      <x:c r="R9" s="71"/>
      <x:c r="S9" s="71"/>
      <x:c r="T9" s="71"/>
      <x:c r="U9" s="71"/>
      <x:c r="V9" s="71"/>
      <x:c r="W9" s="71"/>
      <x:c r="X9" s="71"/>
      <x:c r="Y9" s="71"/>
      <x:c r="Z9" s="71"/>
    </x:row>
    <x:row r="10">
      <x:c r="A10" s="73" t="str">
        <x:v>Commission add-on</x:v>
      </x:c>
      <x:c r="B10" s="73" t="str">
        <x:v>1–3% с платежей</x:v>
      </x:c>
      <x:c r="C10" s="73" t="str">
        <x:v>Когда подключены онлайн-платежи</x:v>
      </x:c>
      <x:c r="D10" s="73" t="str">
        <x:v>Рынок retreat software использует % bookings</x:v>
      </x:c>
      <x:c r="E10" s="73" t="str">
        <x:v>На старте может вызвать сопротивление</x:v>
      </x:c>
      <x:c r="F10" s="73" t="str">
        <x:v>Добавлять позже, не в первый прайс</x:v>
      </x:c>
      <x:c r="G10" s="73" t="str">
        <x:v>Retreat Guru pricing</x:v>
      </x:c>
      <x:c r="H10" s="73" t="str">
        <x:v>https://software.retreat.guru/pricing</x:v>
      </x:c>
      <x:c r="I10" s="71"/>
      <x:c r="J10" s="71"/>
      <x:c r="K10" s="71"/>
      <x:c r="L10" s="71"/>
      <x:c r="M10" s="71"/>
      <x:c r="N10" s="71"/>
      <x:c r="O10" s="71"/>
      <x:c r="P10" s="71"/>
      <x:c r="Q10" s="71"/>
      <x:c r="R10" s="71"/>
      <x:c r="S10" s="71"/>
      <x:c r="T10" s="71"/>
      <x:c r="U10" s="71"/>
      <x:c r="V10" s="71"/>
      <x:c r="W10" s="71"/>
      <x:c r="X10" s="71"/>
      <x:c r="Y10" s="71"/>
      <x:c r="Z10" s="71"/>
    </x:row>
    <x:row r="11">
      <x:c r="A11" s="73" t="str">
        <x:v>Size-based</x:v>
      </x:c>
      <x:c r="B11" s="73" t="str">
        <x:v>по числу семей/participants</x:v>
      </x:c>
      <x:c r="C11" s="73" t="str">
        <x:v>Крупные лагеря</x:v>
      </x:c>
      <x:c r="D11" s="73" t="str">
        <x:v>CampMinder использует per-camper framework</x:v>
      </x:c>
      <x:c r="E11" s="73" t="str">
        <x:v>Сложнее объяснить малым организаторам</x:v>
      </x:c>
      <x:c r="F11" s="73" t="str">
        <x:v>Будущий enterprise/pro pricing</x:v>
      </x:c>
      <x:c r="G11" s="73" t="str">
        <x:v>CampMinder pricing</x:v>
      </x:c>
      <x:c r="H11" s="73" t="str">
        <x:v>https://campminder.com/suites/</x:v>
      </x:c>
      <x:c r="I11" s="71"/>
      <x:c r="J11" s="71"/>
      <x:c r="K11" s="71"/>
      <x:c r="L11" s="71"/>
      <x:c r="M11" s="71"/>
      <x:c r="N11" s="71"/>
      <x:c r="O11" s="71"/>
      <x:c r="P11" s="71"/>
      <x:c r="Q11" s="71"/>
      <x:c r="R11" s="71"/>
      <x:c r="S11" s="71"/>
      <x:c r="T11" s="71"/>
      <x:c r="U11" s="71"/>
      <x:c r="V11" s="71"/>
      <x:c r="W11" s="71"/>
      <x:c r="X11" s="71"/>
      <x:c r="Y11" s="71"/>
      <x:c r="Z11" s="71"/>
    </x:row>
    <x:row r="12">
      <x:c r="A12" s="71"/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  <x:c r="S12" s="71"/>
      <x:c r="T12" s="71"/>
      <x:c r="U12" s="71"/>
      <x:c r="V12" s="71"/>
      <x:c r="W12" s="71"/>
      <x:c r="X12" s="71"/>
      <x:c r="Y12" s="71"/>
      <x:c r="Z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71"/>
      <x:c r="S13" s="71"/>
      <x:c r="T13" s="71"/>
      <x:c r="U13" s="71"/>
      <x:c r="V13" s="71"/>
      <x:c r="W13" s="71"/>
      <x:c r="X13" s="71"/>
      <x:c r="Y13" s="71"/>
      <x:c r="Z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  <x:c r="L14" s="71"/>
      <x:c r="M14" s="71"/>
      <x:c r="N14" s="71"/>
      <x:c r="O14" s="71"/>
      <x:c r="P14" s="71"/>
      <x:c r="Q14" s="71"/>
      <x:c r="R14" s="71"/>
      <x:c r="S14" s="71"/>
      <x:c r="T14" s="71"/>
      <x:c r="U14" s="71"/>
      <x:c r="V14" s="71"/>
      <x:c r="W14" s="71"/>
      <x:c r="X14" s="71"/>
      <x:c r="Y14" s="71"/>
      <x:c r="Z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U15" s="71"/>
      <x:c r="V15" s="71"/>
      <x:c r="W15" s="71"/>
      <x:c r="X15" s="71"/>
      <x:c r="Y15" s="71"/>
      <x:c r="Z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U16" s="71"/>
      <x:c r="V16" s="71"/>
      <x:c r="W16" s="71"/>
      <x:c r="X16" s="71"/>
      <x:c r="Y16" s="71"/>
      <x:c r="Z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U17" s="71"/>
      <x:c r="V17" s="71"/>
      <x:c r="W17" s="71"/>
      <x:c r="X17" s="71"/>
      <x:c r="Y17" s="71"/>
      <x:c r="Z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U18" s="71"/>
      <x:c r="V18" s="71"/>
      <x:c r="W18" s="71"/>
      <x:c r="X18" s="71"/>
      <x:c r="Y18" s="71"/>
      <x:c r="Z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  <x:c r="P19" s="71"/>
      <x:c r="Q19" s="71"/>
      <x:c r="R19" s="71"/>
      <x:c r="S19" s="71"/>
      <x:c r="T19" s="71"/>
      <x:c r="U19" s="71"/>
      <x:c r="V19" s="71"/>
      <x:c r="W19" s="71"/>
      <x:c r="X19" s="71"/>
      <x:c r="Y19" s="71"/>
      <x:c r="Z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71"/>
      <x:c r="O20" s="71"/>
      <x:c r="P20" s="71"/>
      <x:c r="Q20" s="71"/>
      <x:c r="R20" s="71"/>
      <x:c r="S20" s="71"/>
      <x:c r="T20" s="71"/>
      <x:c r="U20" s="71"/>
      <x:c r="V20" s="71"/>
      <x:c r="W20" s="71"/>
      <x:c r="X20" s="71"/>
      <x:c r="Y20" s="71"/>
      <x:c r="Z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71"/>
      <x:c r="O21" s="71"/>
      <x:c r="P21" s="71"/>
      <x:c r="Q21" s="71"/>
      <x:c r="R21" s="71"/>
      <x:c r="S21" s="71"/>
      <x:c r="T21" s="71"/>
      <x:c r="U21" s="71"/>
      <x:c r="V21" s="71"/>
      <x:c r="W21" s="71"/>
      <x:c r="X21" s="71"/>
      <x:c r="Y21" s="71"/>
      <x:c r="Z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71"/>
      <x:c r="O22" s="71"/>
      <x:c r="P22" s="71"/>
      <x:c r="Q22" s="71"/>
      <x:c r="R22" s="71"/>
      <x:c r="S22" s="71"/>
      <x:c r="T22" s="71"/>
      <x:c r="U22" s="71"/>
      <x:c r="V22" s="71"/>
      <x:c r="W22" s="71"/>
      <x:c r="X22" s="71"/>
      <x:c r="Y22" s="71"/>
      <x:c r="Z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71"/>
      <x:c r="O23" s="71"/>
      <x:c r="P23" s="71"/>
      <x:c r="Q23" s="71"/>
      <x:c r="R23" s="71"/>
      <x:c r="S23" s="71"/>
      <x:c r="T23" s="71"/>
      <x:c r="U23" s="71"/>
      <x:c r="V23" s="71"/>
      <x:c r="W23" s="71"/>
      <x:c r="X23" s="71"/>
      <x:c r="Y23" s="71"/>
      <x:c r="Z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  <x:c r="L24" s="71"/>
      <x:c r="M24" s="71"/>
      <x:c r="N24" s="71"/>
      <x:c r="O24" s="71"/>
      <x:c r="P24" s="71"/>
      <x:c r="Q24" s="71"/>
      <x:c r="R24" s="71"/>
      <x:c r="S24" s="71"/>
      <x:c r="T24" s="71"/>
      <x:c r="U24" s="71"/>
      <x:c r="V24" s="71"/>
      <x:c r="W24" s="71"/>
      <x:c r="X24" s="71"/>
      <x:c r="Y24" s="71"/>
      <x:c r="Z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  <x:c r="P30" s="71"/>
      <x:c r="Q30" s="71"/>
      <x:c r="R30" s="71"/>
      <x:c r="S30" s="71"/>
      <x:c r="T30" s="71"/>
      <x:c r="U30" s="71"/>
      <x:c r="V30" s="71"/>
      <x:c r="W30" s="71"/>
      <x:c r="X30" s="71"/>
      <x:c r="Y30" s="71"/>
      <x:c r="Z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  <x:c r="S31" s="71"/>
      <x:c r="T31" s="71"/>
      <x:c r="U31" s="71"/>
      <x:c r="V31" s="71"/>
      <x:c r="W31" s="71"/>
      <x:c r="X31" s="71"/>
      <x:c r="Y31" s="71"/>
      <x:c r="Z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  <x:c r="S32" s="71"/>
      <x:c r="T32" s="71"/>
      <x:c r="U32" s="71"/>
      <x:c r="V32" s="71"/>
      <x:c r="W32" s="71"/>
      <x:c r="X32" s="71"/>
      <x:c r="Y32" s="71"/>
      <x:c r="Z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  <x:c r="S33" s="71"/>
      <x:c r="T33" s="71"/>
      <x:c r="U33" s="71"/>
      <x:c r="V33" s="71"/>
      <x:c r="W33" s="71"/>
      <x:c r="X33" s="71"/>
      <x:c r="Y33" s="71"/>
      <x:c r="Z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  <x:c r="S34" s="71"/>
      <x:c r="T34" s="71"/>
      <x:c r="U34" s="71"/>
      <x:c r="V34" s="71"/>
      <x:c r="W34" s="71"/>
      <x:c r="X34" s="71"/>
      <x:c r="Y34" s="71"/>
      <x:c r="Z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  <x:c r="S35" s="71"/>
      <x:c r="T35" s="71"/>
      <x:c r="U35" s="71"/>
      <x:c r="V35" s="71"/>
      <x:c r="W35" s="71"/>
      <x:c r="X35" s="71"/>
      <x:c r="Y35" s="71"/>
      <x:c r="Z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71"/>
      <x:c r="T36" s="71"/>
      <x:c r="U36" s="71"/>
      <x:c r="V36" s="71"/>
      <x:c r="W36" s="71"/>
      <x:c r="X36" s="71"/>
      <x:c r="Y36" s="71"/>
      <x:c r="Z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  <x:c r="S37" s="71"/>
      <x:c r="T37" s="71"/>
      <x:c r="U37" s="71"/>
      <x:c r="V37" s="71"/>
      <x:c r="W37" s="71"/>
      <x:c r="X37" s="71"/>
      <x:c r="Y37" s="71"/>
      <x:c r="Z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  <x:c r="S38" s="71"/>
      <x:c r="T38" s="71"/>
      <x:c r="U38" s="71"/>
      <x:c r="V38" s="71"/>
      <x:c r="W38" s="71"/>
      <x:c r="X38" s="71"/>
      <x:c r="Y38" s="71"/>
      <x:c r="Z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71"/>
      <x:c r="T39" s="71"/>
      <x:c r="U39" s="71"/>
      <x:c r="V39" s="71"/>
      <x:c r="W39" s="71"/>
      <x:c r="X39" s="71"/>
      <x:c r="Y39" s="71"/>
      <x:c r="Z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  <x:c r="S40" s="71"/>
      <x:c r="T40" s="71"/>
      <x:c r="U40" s="71"/>
      <x:c r="V40" s="71"/>
      <x:c r="W40" s="71"/>
      <x:c r="X40" s="71"/>
      <x:c r="Y40" s="71"/>
      <x:c r="Z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  <x:c r="S41" s="71"/>
      <x:c r="T41" s="71"/>
      <x:c r="U41" s="71"/>
      <x:c r="V41" s="71"/>
      <x:c r="W41" s="71"/>
      <x:c r="X41" s="71"/>
      <x:c r="Y41" s="71"/>
      <x:c r="Z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  <x:c r="S42" s="71"/>
      <x:c r="T42" s="71"/>
      <x:c r="U42" s="71"/>
      <x:c r="V42" s="71"/>
      <x:c r="W42" s="71"/>
      <x:c r="X42" s="71"/>
      <x:c r="Y42" s="71"/>
      <x:c r="Z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  <x:c r="S43" s="71"/>
      <x:c r="T43" s="71"/>
      <x:c r="U43" s="71"/>
      <x:c r="V43" s="71"/>
      <x:c r="W43" s="71"/>
      <x:c r="X43" s="71"/>
      <x:c r="Y43" s="71"/>
      <x:c r="Z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71"/>
      <x:c r="T44" s="71"/>
      <x:c r="U44" s="71"/>
      <x:c r="V44" s="71"/>
      <x:c r="W44" s="71"/>
      <x:c r="X44" s="71"/>
      <x:c r="Y44" s="71"/>
      <x:c r="Z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  <x:c r="S45" s="71"/>
      <x:c r="T45" s="71"/>
      <x:c r="U45" s="71"/>
      <x:c r="V45" s="71"/>
      <x:c r="W45" s="71"/>
      <x:c r="X45" s="71"/>
      <x:c r="Y45" s="71"/>
      <x:c r="Z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71"/>
      <x:c r="T46" s="71"/>
      <x:c r="U46" s="71"/>
      <x:c r="V46" s="71"/>
      <x:c r="W46" s="71"/>
      <x:c r="X46" s="71"/>
      <x:c r="Y46" s="71"/>
      <x:c r="Z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  <x:c r="S47" s="71"/>
      <x:c r="T47" s="71"/>
      <x:c r="U47" s="71"/>
      <x:c r="V47" s="71"/>
      <x:c r="W47" s="71"/>
      <x:c r="X47" s="71"/>
      <x:c r="Y47" s="71"/>
      <x:c r="Z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  <x:c r="S48" s="71"/>
      <x:c r="T48" s="71"/>
      <x:c r="U48" s="71"/>
      <x:c r="V48" s="71"/>
      <x:c r="W48" s="71"/>
      <x:c r="X48" s="71"/>
      <x:c r="Y48" s="71"/>
      <x:c r="Z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  <x:c r="S49" s="71"/>
      <x:c r="T49" s="71"/>
      <x:c r="U49" s="71"/>
      <x:c r="V49" s="71"/>
      <x:c r="W49" s="71"/>
      <x:c r="X49" s="71"/>
      <x:c r="Y49" s="71"/>
      <x:c r="Z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  <x:c r="S50" s="71"/>
      <x:c r="T50" s="71"/>
      <x:c r="U50" s="71"/>
      <x:c r="V50" s="71"/>
      <x:c r="W50" s="71"/>
      <x:c r="X50" s="71"/>
      <x:c r="Y50" s="71"/>
      <x:c r="Z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  <x:c r="S51" s="71"/>
      <x:c r="T51" s="71"/>
      <x:c r="U51" s="71"/>
      <x:c r="V51" s="71"/>
      <x:c r="W51" s="71"/>
      <x:c r="X51" s="71"/>
      <x:c r="Y51" s="71"/>
      <x:c r="Z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  <x:c r="S52" s="71"/>
      <x:c r="T52" s="71"/>
      <x:c r="U52" s="71"/>
      <x:c r="V52" s="71"/>
      <x:c r="W52" s="71"/>
      <x:c r="X52" s="71"/>
      <x:c r="Y52" s="71"/>
      <x:c r="Z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  <x:c r="S53" s="71"/>
      <x:c r="T53" s="71"/>
      <x:c r="U53" s="71"/>
      <x:c r="V53" s="71"/>
      <x:c r="W53" s="71"/>
      <x:c r="X53" s="71"/>
      <x:c r="Y53" s="71"/>
      <x:c r="Z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71"/>
      <x:c r="T54" s="71"/>
      <x:c r="U54" s="71"/>
      <x:c r="V54" s="71"/>
      <x:c r="W54" s="71"/>
      <x:c r="X54" s="71"/>
      <x:c r="Y54" s="71"/>
      <x:c r="Z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  <x:c r="S55" s="71"/>
      <x:c r="T55" s="71"/>
      <x:c r="U55" s="71"/>
      <x:c r="V55" s="71"/>
      <x:c r="W55" s="71"/>
      <x:c r="X55" s="71"/>
      <x:c r="Y55" s="71"/>
      <x:c r="Z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  <x:c r="S56" s="71"/>
      <x:c r="T56" s="71"/>
      <x:c r="U56" s="71"/>
      <x:c r="V56" s="71"/>
      <x:c r="W56" s="71"/>
      <x:c r="X56" s="71"/>
      <x:c r="Y56" s="71"/>
      <x:c r="Z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  <x:c r="S57" s="71"/>
      <x:c r="T57" s="71"/>
      <x:c r="U57" s="71"/>
      <x:c r="V57" s="71"/>
      <x:c r="W57" s="71"/>
      <x:c r="X57" s="71"/>
      <x:c r="Y57" s="71"/>
      <x:c r="Z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  <x:c r="S58" s="71"/>
      <x:c r="T58" s="71"/>
      <x:c r="U58" s="71"/>
      <x:c r="V58" s="71"/>
      <x:c r="W58" s="71"/>
      <x:c r="X58" s="71"/>
      <x:c r="Y58" s="71"/>
      <x:c r="Z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  <x:c r="S59" s="71"/>
      <x:c r="T59" s="71"/>
      <x:c r="U59" s="71"/>
      <x:c r="V59" s="71"/>
      <x:c r="W59" s="71"/>
      <x:c r="X59" s="71"/>
      <x:c r="Y59" s="71"/>
      <x:c r="Z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71"/>
      <x:c r="T60" s="71"/>
      <x:c r="U60" s="71"/>
      <x:c r="V60" s="71"/>
      <x:c r="W60" s="71"/>
      <x:c r="X60" s="71"/>
      <x:c r="Y60" s="71"/>
      <x:c r="Z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  <x:c r="P61" s="71"/>
      <x:c r="Q61" s="71"/>
      <x:c r="R61" s="71"/>
      <x:c r="S61" s="71"/>
      <x:c r="T61" s="71"/>
      <x:c r="U61" s="71"/>
      <x:c r="V61" s="71"/>
      <x:c r="W61" s="71"/>
      <x:c r="X61" s="71"/>
      <x:c r="Y61" s="71"/>
      <x:c r="Z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  <x:c r="L62" s="71"/>
      <x:c r="M62" s="71"/>
      <x:c r="N62" s="71"/>
      <x:c r="O62" s="71"/>
      <x:c r="P62" s="71"/>
      <x:c r="Q62" s="71"/>
      <x:c r="R62" s="71"/>
      <x:c r="S62" s="71"/>
      <x:c r="T62" s="71"/>
      <x:c r="U62" s="71"/>
      <x:c r="V62" s="71"/>
      <x:c r="W62" s="71"/>
      <x:c r="X62" s="71"/>
      <x:c r="Y62" s="71"/>
      <x:c r="Z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  <x:c r="L63" s="71"/>
      <x:c r="M63" s="71"/>
      <x:c r="N63" s="71"/>
      <x:c r="O63" s="71"/>
      <x:c r="P63" s="71"/>
      <x:c r="Q63" s="71"/>
      <x:c r="R63" s="71"/>
      <x:c r="S63" s="71"/>
      <x:c r="T63" s="71"/>
      <x:c r="U63" s="71"/>
      <x:c r="V63" s="71"/>
      <x:c r="W63" s="71"/>
      <x:c r="X63" s="71"/>
      <x:c r="Y63" s="71"/>
      <x:c r="Z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  <x:c r="L64" s="71"/>
      <x:c r="M64" s="71"/>
      <x:c r="N64" s="71"/>
      <x:c r="O64" s="71"/>
      <x:c r="P64" s="71"/>
      <x:c r="Q64" s="71"/>
      <x:c r="R64" s="71"/>
      <x:c r="S64" s="71"/>
      <x:c r="T64" s="71"/>
      <x:c r="U64" s="71"/>
      <x:c r="V64" s="71"/>
      <x:c r="W64" s="71"/>
      <x:c r="X64" s="71"/>
      <x:c r="Y64" s="71"/>
      <x:c r="Z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  <x:c r="L65" s="71"/>
      <x:c r="M65" s="71"/>
      <x:c r="N65" s="71"/>
      <x:c r="O65" s="71"/>
      <x:c r="P65" s="71"/>
      <x:c r="Q65" s="71"/>
      <x:c r="R65" s="71"/>
      <x:c r="S65" s="71"/>
      <x:c r="T65" s="71"/>
      <x:c r="U65" s="71"/>
      <x:c r="V65" s="71"/>
      <x:c r="W65" s="71"/>
      <x:c r="X65" s="71"/>
      <x:c r="Y65" s="71"/>
      <x:c r="Z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  <x:c r="S66" s="71"/>
      <x:c r="T66" s="71"/>
      <x:c r="U66" s="71"/>
      <x:c r="V66" s="71"/>
      <x:c r="W66" s="71"/>
      <x:c r="X66" s="71"/>
      <x:c r="Y66" s="71"/>
      <x:c r="Z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1"/>
      <x:c r="J67" s="71"/>
      <x:c r="K67" s="71"/>
      <x:c r="L67" s="71"/>
      <x:c r="M67" s="71"/>
      <x:c r="N67" s="71"/>
      <x:c r="O67" s="71"/>
      <x:c r="P67" s="71"/>
      <x:c r="Q67" s="71"/>
      <x:c r="R67" s="71"/>
      <x:c r="S67" s="71"/>
      <x:c r="T67" s="71"/>
      <x:c r="U67" s="71"/>
      <x:c r="V67" s="71"/>
      <x:c r="W67" s="71"/>
      <x:c r="X67" s="71"/>
      <x:c r="Y67" s="71"/>
      <x:c r="Z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1"/>
      <x:c r="J68" s="71"/>
      <x:c r="K68" s="71"/>
      <x:c r="L68" s="71"/>
      <x:c r="M68" s="71"/>
      <x:c r="N68" s="71"/>
      <x:c r="O68" s="71"/>
      <x:c r="P68" s="71"/>
      <x:c r="Q68" s="71"/>
      <x:c r="R68" s="71"/>
      <x:c r="S68" s="71"/>
      <x:c r="T68" s="71"/>
      <x:c r="U68" s="71"/>
      <x:c r="V68" s="71"/>
      <x:c r="W68" s="71"/>
      <x:c r="X68" s="71"/>
      <x:c r="Y68" s="71"/>
      <x:c r="Z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1"/>
      <x:c r="J69" s="71"/>
      <x:c r="K69" s="71"/>
      <x:c r="L69" s="71"/>
      <x:c r="M69" s="71"/>
      <x:c r="N69" s="71"/>
      <x:c r="O69" s="71"/>
      <x:c r="P69" s="71"/>
      <x:c r="Q69" s="71"/>
      <x:c r="R69" s="71"/>
      <x:c r="S69" s="71"/>
      <x:c r="T69" s="71"/>
      <x:c r="U69" s="71"/>
      <x:c r="V69" s="71"/>
      <x:c r="W69" s="71"/>
      <x:c r="X69" s="71"/>
      <x:c r="Y69" s="71"/>
      <x:c r="Z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1"/>
      <x:c r="J70" s="71"/>
      <x:c r="K70" s="71"/>
      <x:c r="L70" s="71"/>
      <x:c r="M70" s="71"/>
      <x:c r="N70" s="71"/>
      <x:c r="O70" s="71"/>
      <x:c r="P70" s="71"/>
      <x:c r="Q70" s="71"/>
      <x:c r="R70" s="71"/>
      <x:c r="S70" s="71"/>
      <x:c r="T70" s="71"/>
      <x:c r="U70" s="71"/>
      <x:c r="V70" s="71"/>
      <x:c r="W70" s="71"/>
      <x:c r="X70" s="71"/>
      <x:c r="Y70" s="71"/>
      <x:c r="Z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1"/>
      <x:c r="J71" s="71"/>
      <x:c r="K71" s="71"/>
      <x:c r="L71" s="71"/>
      <x:c r="M71" s="71"/>
      <x:c r="N71" s="71"/>
      <x:c r="O71" s="71"/>
      <x:c r="P71" s="71"/>
      <x:c r="Q71" s="71"/>
      <x:c r="R71" s="71"/>
      <x:c r="S71" s="71"/>
      <x:c r="T71" s="71"/>
      <x:c r="U71" s="71"/>
      <x:c r="V71" s="71"/>
      <x:c r="W71" s="71"/>
      <x:c r="X71" s="71"/>
      <x:c r="Y71" s="71"/>
      <x:c r="Z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1"/>
      <x:c r="J72" s="71"/>
      <x:c r="K72" s="71"/>
      <x:c r="L72" s="71"/>
      <x:c r="M72" s="71"/>
      <x:c r="N72" s="71"/>
      <x:c r="O72" s="71"/>
      <x:c r="P72" s="71"/>
      <x:c r="Q72" s="71"/>
      <x:c r="R72" s="71"/>
      <x:c r="S72" s="71"/>
      <x:c r="T72" s="71"/>
      <x:c r="U72" s="71"/>
      <x:c r="V72" s="71"/>
      <x:c r="W72" s="71"/>
      <x:c r="X72" s="71"/>
      <x:c r="Y72" s="71"/>
      <x:c r="Z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1"/>
      <x:c r="J73" s="71"/>
      <x:c r="K73" s="71"/>
      <x:c r="L73" s="71"/>
      <x:c r="M73" s="71"/>
      <x:c r="N73" s="71"/>
      <x:c r="O73" s="71"/>
      <x:c r="P73" s="71"/>
      <x:c r="Q73" s="71"/>
      <x:c r="R73" s="71"/>
      <x:c r="S73" s="71"/>
      <x:c r="T73" s="71"/>
      <x:c r="U73" s="71"/>
      <x:c r="V73" s="71"/>
      <x:c r="W73" s="71"/>
      <x:c r="X73" s="71"/>
      <x:c r="Y73" s="71"/>
      <x:c r="Z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1"/>
      <x:c r="J74" s="71"/>
      <x:c r="K74" s="71"/>
      <x:c r="L74" s="71"/>
      <x:c r="M74" s="71"/>
      <x:c r="N74" s="71"/>
      <x:c r="O74" s="71"/>
      <x:c r="P74" s="71"/>
      <x:c r="Q74" s="71"/>
      <x:c r="R74" s="71"/>
      <x:c r="S74" s="71"/>
      <x:c r="T74" s="71"/>
      <x:c r="U74" s="71"/>
      <x:c r="V74" s="71"/>
      <x:c r="W74" s="71"/>
      <x:c r="X74" s="71"/>
      <x:c r="Y74" s="71"/>
      <x:c r="Z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1"/>
      <x:c r="J75" s="71"/>
      <x:c r="K75" s="71"/>
      <x:c r="L75" s="71"/>
      <x:c r="M75" s="71"/>
      <x:c r="N75" s="71"/>
      <x:c r="O75" s="71"/>
      <x:c r="P75" s="71"/>
      <x:c r="Q75" s="71"/>
      <x:c r="R75" s="71"/>
      <x:c r="S75" s="71"/>
      <x:c r="T75" s="71"/>
      <x:c r="U75" s="71"/>
      <x:c r="V75" s="71"/>
      <x:c r="W75" s="71"/>
      <x:c r="X75" s="71"/>
      <x:c r="Y75" s="71"/>
      <x:c r="Z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1"/>
      <x:c r="J76" s="71"/>
      <x:c r="K76" s="71"/>
      <x:c r="L76" s="71"/>
      <x:c r="M76" s="71"/>
      <x:c r="N76" s="71"/>
      <x:c r="O76" s="71"/>
      <x:c r="P76" s="71"/>
      <x:c r="Q76" s="71"/>
      <x:c r="R76" s="71"/>
      <x:c r="S76" s="71"/>
      <x:c r="T76" s="71"/>
      <x:c r="U76" s="71"/>
      <x:c r="V76" s="71"/>
      <x:c r="W76" s="71"/>
      <x:c r="X76" s="71"/>
      <x:c r="Y76" s="71"/>
      <x:c r="Z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1"/>
      <x:c r="J77" s="71"/>
      <x:c r="K77" s="71"/>
      <x:c r="L77" s="71"/>
      <x:c r="M77" s="71"/>
      <x:c r="N77" s="71"/>
      <x:c r="O77" s="71"/>
      <x:c r="P77" s="71"/>
      <x:c r="Q77" s="71"/>
      <x:c r="R77" s="71"/>
      <x:c r="S77" s="71"/>
      <x:c r="T77" s="71"/>
      <x:c r="U77" s="71"/>
      <x:c r="V77" s="71"/>
      <x:c r="W77" s="71"/>
      <x:c r="X77" s="71"/>
      <x:c r="Y77" s="71"/>
      <x:c r="Z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1"/>
      <x:c r="J78" s="71"/>
      <x:c r="K78" s="71"/>
      <x:c r="L78" s="71"/>
      <x:c r="M78" s="71"/>
      <x:c r="N78" s="71"/>
      <x:c r="O78" s="71"/>
      <x:c r="P78" s="71"/>
      <x:c r="Q78" s="71"/>
      <x:c r="R78" s="71"/>
      <x:c r="S78" s="71"/>
      <x:c r="T78" s="71"/>
      <x:c r="U78" s="71"/>
      <x:c r="V78" s="71"/>
      <x:c r="W78" s="71"/>
      <x:c r="X78" s="71"/>
      <x:c r="Y78" s="71"/>
      <x:c r="Z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71"/>
      <x:c r="T79" s="71"/>
      <x:c r="U79" s="71"/>
      <x:c r="V79" s="71"/>
      <x:c r="W79" s="71"/>
      <x:c r="X79" s="71"/>
      <x:c r="Y79" s="71"/>
      <x:c r="Z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  <x:c r="S80" s="71"/>
      <x:c r="T80" s="71"/>
      <x:c r="U80" s="71"/>
      <x:c r="V80" s="71"/>
      <x:c r="W80" s="71"/>
      <x:c r="X80" s="71"/>
      <x:c r="Y80" s="71"/>
      <x:c r="Z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  <x:c r="L81" s="71"/>
      <x:c r="M81" s="71"/>
      <x:c r="N81" s="71"/>
      <x:c r="O81" s="71"/>
      <x:c r="P81" s="71"/>
      <x:c r="Q81" s="71"/>
      <x:c r="R81" s="71"/>
      <x:c r="S81" s="71"/>
      <x:c r="T81" s="71"/>
      <x:c r="U81" s="71"/>
      <x:c r="V81" s="71"/>
      <x:c r="W81" s="71"/>
      <x:c r="X81" s="71"/>
      <x:c r="Y81" s="71"/>
      <x:c r="Z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  <x:c r="L82" s="71"/>
      <x:c r="M82" s="71"/>
      <x:c r="N82" s="71"/>
      <x:c r="O82" s="71"/>
      <x:c r="P82" s="71"/>
      <x:c r="Q82" s="71"/>
      <x:c r="R82" s="71"/>
      <x:c r="S82" s="71"/>
      <x:c r="T82" s="71"/>
      <x:c r="U82" s="71"/>
      <x:c r="V82" s="71"/>
      <x:c r="W82" s="71"/>
      <x:c r="X82" s="71"/>
      <x:c r="Y82" s="71"/>
      <x:c r="Z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1"/>
      <x:c r="J83" s="71"/>
      <x:c r="K83" s="71"/>
      <x:c r="L83" s="71"/>
      <x:c r="M83" s="71"/>
      <x:c r="N83" s="71"/>
      <x:c r="O83" s="71"/>
      <x:c r="P83" s="71"/>
      <x:c r="Q83" s="71"/>
      <x:c r="R83" s="71"/>
      <x:c r="S83" s="71"/>
      <x:c r="T83" s="71"/>
      <x:c r="U83" s="71"/>
      <x:c r="V83" s="71"/>
      <x:c r="W83" s="71"/>
      <x:c r="X83" s="71"/>
      <x:c r="Y83" s="71"/>
      <x:c r="Z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1"/>
      <x:c r="J84" s="71"/>
      <x:c r="K84" s="71"/>
      <x:c r="L84" s="71"/>
      <x:c r="M84" s="71"/>
      <x:c r="N84" s="71"/>
      <x:c r="O84" s="71"/>
      <x:c r="P84" s="71"/>
      <x:c r="Q84" s="71"/>
      <x:c r="R84" s="71"/>
      <x:c r="S84" s="71"/>
      <x:c r="T84" s="71"/>
      <x:c r="U84" s="71"/>
      <x:c r="V84" s="71"/>
      <x:c r="W84" s="71"/>
      <x:c r="X84" s="71"/>
      <x:c r="Y84" s="71"/>
      <x:c r="Z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1"/>
      <x:c r="J85" s="71"/>
      <x:c r="K85" s="71"/>
      <x:c r="L85" s="71"/>
      <x:c r="M85" s="71"/>
      <x:c r="N85" s="71"/>
      <x:c r="O85" s="71"/>
      <x:c r="P85" s="71"/>
      <x:c r="Q85" s="71"/>
      <x:c r="R85" s="71"/>
      <x:c r="S85" s="71"/>
      <x:c r="T85" s="71"/>
      <x:c r="U85" s="71"/>
      <x:c r="V85" s="71"/>
      <x:c r="W85" s="71"/>
      <x:c r="X85" s="71"/>
      <x:c r="Y85" s="71"/>
      <x:c r="Z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1"/>
      <x:c r="J86" s="71"/>
      <x:c r="K86" s="71"/>
      <x:c r="L86" s="71"/>
      <x:c r="M86" s="71"/>
      <x:c r="N86" s="71"/>
      <x:c r="O86" s="71"/>
      <x:c r="P86" s="71"/>
      <x:c r="Q86" s="71"/>
      <x:c r="R86" s="71"/>
      <x:c r="S86" s="71"/>
      <x:c r="T86" s="71"/>
      <x:c r="U86" s="71"/>
      <x:c r="V86" s="71"/>
      <x:c r="W86" s="71"/>
      <x:c r="X86" s="71"/>
      <x:c r="Y86" s="71"/>
      <x:c r="Z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1"/>
      <x:c r="J87" s="71"/>
      <x:c r="K87" s="71"/>
      <x:c r="L87" s="71"/>
      <x:c r="M87" s="71"/>
      <x:c r="N87" s="71"/>
      <x:c r="O87" s="71"/>
      <x:c r="P87" s="71"/>
      <x:c r="Q87" s="71"/>
      <x:c r="R87" s="71"/>
      <x:c r="S87" s="71"/>
      <x:c r="T87" s="71"/>
      <x:c r="U87" s="71"/>
      <x:c r="V87" s="71"/>
      <x:c r="W87" s="71"/>
      <x:c r="X87" s="71"/>
      <x:c r="Y87" s="71"/>
      <x:c r="Z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1"/>
      <x:c r="J88" s="71"/>
      <x:c r="K88" s="71"/>
      <x:c r="L88" s="71"/>
      <x:c r="M88" s="71"/>
      <x:c r="N88" s="71"/>
      <x:c r="O88" s="71"/>
      <x:c r="P88" s="71"/>
      <x:c r="Q88" s="71"/>
      <x:c r="R88" s="71"/>
      <x:c r="S88" s="71"/>
      <x:c r="T88" s="71"/>
      <x:c r="U88" s="71"/>
      <x:c r="V88" s="71"/>
      <x:c r="W88" s="71"/>
      <x:c r="X88" s="71"/>
      <x:c r="Y88" s="71"/>
      <x:c r="Z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  <x:c r="L89" s="71"/>
      <x:c r="M89" s="71"/>
      <x:c r="N89" s="71"/>
      <x:c r="O89" s="71"/>
      <x:c r="P89" s="71"/>
      <x:c r="Q89" s="71"/>
      <x:c r="R89" s="71"/>
      <x:c r="S89" s="71"/>
      <x:c r="T89" s="71"/>
      <x:c r="U89" s="71"/>
      <x:c r="V89" s="71"/>
      <x:c r="W89" s="71"/>
      <x:c r="X89" s="71"/>
      <x:c r="Y89" s="71"/>
      <x:c r="Z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  <x:c r="L90" s="71"/>
      <x:c r="M90" s="71"/>
      <x:c r="N90" s="71"/>
      <x:c r="O90" s="71"/>
      <x:c r="P90" s="71"/>
      <x:c r="Q90" s="71"/>
      <x:c r="R90" s="71"/>
      <x:c r="S90" s="71"/>
      <x:c r="T90" s="71"/>
      <x:c r="U90" s="71"/>
      <x:c r="V90" s="71"/>
      <x:c r="W90" s="71"/>
      <x:c r="X90" s="71"/>
      <x:c r="Y90" s="71"/>
      <x:c r="Z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  <x:c r="L91" s="71"/>
      <x:c r="M91" s="71"/>
      <x:c r="N91" s="71"/>
      <x:c r="O91" s="71"/>
      <x:c r="P91" s="71"/>
      <x:c r="Q91" s="71"/>
      <x:c r="R91" s="71"/>
      <x:c r="S91" s="71"/>
      <x:c r="T91" s="71"/>
      <x:c r="U91" s="71"/>
      <x:c r="V91" s="71"/>
      <x:c r="W91" s="71"/>
      <x:c r="X91" s="71"/>
      <x:c r="Y91" s="71"/>
      <x:c r="Z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  <x:c r="L92" s="71"/>
      <x:c r="M92" s="71"/>
      <x:c r="N92" s="71"/>
      <x:c r="O92" s="71"/>
      <x:c r="P92" s="71"/>
      <x:c r="Q92" s="71"/>
      <x:c r="R92" s="71"/>
      <x:c r="S92" s="71"/>
      <x:c r="T92" s="71"/>
      <x:c r="U92" s="71"/>
      <x:c r="V92" s="71"/>
      <x:c r="W92" s="71"/>
      <x:c r="X92" s="71"/>
      <x:c r="Y92" s="71"/>
      <x:c r="Z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1"/>
      <x:c r="J93" s="71"/>
      <x:c r="K93" s="71"/>
      <x:c r="L93" s="71"/>
      <x:c r="M93" s="71"/>
      <x:c r="N93" s="71"/>
      <x:c r="O93" s="71"/>
      <x:c r="P93" s="71"/>
      <x:c r="Q93" s="71"/>
      <x:c r="R93" s="71"/>
      <x:c r="S93" s="71"/>
      <x:c r="T93" s="71"/>
      <x:c r="U93" s="71"/>
      <x:c r="V93" s="71"/>
      <x:c r="W93" s="71"/>
      <x:c r="X93" s="71"/>
      <x:c r="Y93" s="71"/>
      <x:c r="Z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  <x:c r="S94" s="71"/>
      <x:c r="T94" s="71"/>
      <x:c r="U94" s="71"/>
      <x:c r="V94" s="71"/>
      <x:c r="W94" s="71"/>
      <x:c r="X94" s="71"/>
      <x:c r="Y94" s="71"/>
      <x:c r="Z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1"/>
      <x:c r="J95" s="71"/>
      <x:c r="K95" s="71"/>
      <x:c r="L95" s="71"/>
      <x:c r="M95" s="71"/>
      <x:c r="N95" s="71"/>
      <x:c r="O95" s="71"/>
      <x:c r="P95" s="71"/>
      <x:c r="Q95" s="71"/>
      <x:c r="R95" s="71"/>
      <x:c r="S95" s="71"/>
      <x:c r="T95" s="71"/>
      <x:c r="U95" s="71"/>
      <x:c r="V95" s="71"/>
      <x:c r="W95" s="71"/>
      <x:c r="X95" s="71"/>
      <x:c r="Y95" s="71"/>
      <x:c r="Z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1"/>
      <x:c r="J96" s="71"/>
      <x:c r="K96" s="71"/>
      <x:c r="L96" s="71"/>
      <x:c r="M96" s="71"/>
      <x:c r="N96" s="71"/>
      <x:c r="O96" s="71"/>
      <x:c r="P96" s="71"/>
      <x:c r="Q96" s="71"/>
      <x:c r="R96" s="71"/>
      <x:c r="S96" s="71"/>
      <x:c r="T96" s="71"/>
      <x:c r="U96" s="71"/>
      <x:c r="V96" s="71"/>
      <x:c r="W96" s="71"/>
      <x:c r="X96" s="71"/>
      <x:c r="Y96" s="71"/>
      <x:c r="Z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71"/>
      <x:c r="T97" s="71"/>
      <x:c r="U97" s="71"/>
      <x:c r="V97" s="71"/>
      <x:c r="W97" s="71"/>
      <x:c r="X97" s="71"/>
      <x:c r="Y97" s="71"/>
      <x:c r="Z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1"/>
      <x:c r="J98" s="71"/>
      <x:c r="K98" s="71"/>
      <x:c r="L98" s="71"/>
      <x:c r="M98" s="71"/>
      <x:c r="N98" s="71"/>
      <x:c r="O98" s="71"/>
      <x:c r="P98" s="71"/>
      <x:c r="Q98" s="71"/>
      <x:c r="R98" s="71"/>
      <x:c r="S98" s="71"/>
      <x:c r="T98" s="71"/>
      <x:c r="U98" s="71"/>
      <x:c r="V98" s="71"/>
      <x:c r="W98" s="71"/>
      <x:c r="X98" s="71"/>
      <x:c r="Y98" s="71"/>
      <x:c r="Z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1"/>
      <x:c r="J99" s="71"/>
      <x:c r="K99" s="71"/>
      <x:c r="L99" s="71"/>
      <x:c r="M99" s="71"/>
      <x:c r="N99" s="71"/>
      <x:c r="O99" s="71"/>
      <x:c r="P99" s="71"/>
      <x:c r="Q99" s="71"/>
      <x:c r="R99" s="71"/>
      <x:c r="S99" s="71"/>
      <x:c r="T99" s="71"/>
      <x:c r="U99" s="71"/>
      <x:c r="V99" s="71"/>
      <x:c r="W99" s="71"/>
      <x:c r="X99" s="71"/>
      <x:c r="Y99" s="71"/>
      <x:c r="Z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1"/>
      <x:c r="J100" s="71"/>
      <x:c r="K100" s="71"/>
      <x:c r="L100" s="71"/>
      <x:c r="M100" s="71"/>
      <x:c r="N100" s="71"/>
      <x:c r="O100" s="71"/>
      <x:c r="P100" s="71"/>
      <x:c r="Q100" s="71"/>
      <x:c r="R100" s="71"/>
      <x:c r="S100" s="71"/>
      <x:c r="T100" s="71"/>
      <x:c r="U100" s="71"/>
      <x:c r="V100" s="71"/>
      <x:c r="W100" s="71"/>
      <x:c r="X100" s="71"/>
      <x:c r="Y100" s="71"/>
      <x:c r="Z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71"/>
      <x:c r="T101" s="71"/>
      <x:c r="U101" s="71"/>
      <x:c r="V101" s="71"/>
      <x:c r="W101" s="71"/>
      <x:c r="X101" s="71"/>
      <x:c r="Y101" s="71"/>
      <x:c r="Z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1"/>
      <x:c r="J102" s="71"/>
      <x:c r="K102" s="71"/>
      <x:c r="L102" s="71"/>
      <x:c r="M102" s="71"/>
      <x:c r="N102" s="71"/>
      <x:c r="O102" s="71"/>
      <x:c r="P102" s="71"/>
      <x:c r="Q102" s="71"/>
      <x:c r="R102" s="71"/>
      <x:c r="S102" s="71"/>
      <x:c r="T102" s="71"/>
      <x:c r="U102" s="71"/>
      <x:c r="V102" s="71"/>
      <x:c r="W102" s="71"/>
      <x:c r="X102" s="71"/>
      <x:c r="Y102" s="71"/>
      <x:c r="Z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71"/>
      <x:c r="T103" s="71"/>
      <x:c r="U103" s="71"/>
      <x:c r="V103" s="71"/>
      <x:c r="W103" s="71"/>
      <x:c r="X103" s="71"/>
      <x:c r="Y103" s="71"/>
      <x:c r="Z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1"/>
      <x:c r="J104" s="71"/>
      <x:c r="K104" s="71"/>
      <x:c r="L104" s="71"/>
      <x:c r="M104" s="71"/>
      <x:c r="N104" s="71"/>
      <x:c r="O104" s="71"/>
      <x:c r="P104" s="71"/>
      <x:c r="Q104" s="71"/>
      <x:c r="R104" s="71"/>
      <x:c r="S104" s="71"/>
      <x:c r="T104" s="71"/>
      <x:c r="U104" s="71"/>
      <x:c r="V104" s="71"/>
      <x:c r="W104" s="71"/>
      <x:c r="X104" s="71"/>
      <x:c r="Y104" s="71"/>
      <x:c r="Z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1"/>
      <x:c r="J105" s="71"/>
      <x:c r="K105" s="71"/>
      <x:c r="L105" s="71"/>
      <x:c r="M105" s="71"/>
      <x:c r="N105" s="71"/>
      <x:c r="O105" s="71"/>
      <x:c r="P105" s="71"/>
      <x:c r="Q105" s="71"/>
      <x:c r="R105" s="71"/>
      <x:c r="S105" s="71"/>
      <x:c r="T105" s="71"/>
      <x:c r="U105" s="71"/>
      <x:c r="V105" s="71"/>
      <x:c r="W105" s="71"/>
      <x:c r="X105" s="71"/>
      <x:c r="Y105" s="71"/>
      <x:c r="Z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  <x:c r="S106" s="71"/>
      <x:c r="T106" s="71"/>
      <x:c r="U106" s="71"/>
      <x:c r="V106" s="71"/>
      <x:c r="W106" s="71"/>
      <x:c r="X106" s="71"/>
      <x:c r="Y106" s="71"/>
      <x:c r="Z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1"/>
      <x:c r="J107" s="71"/>
      <x:c r="K107" s="71"/>
      <x:c r="L107" s="71"/>
      <x:c r="M107" s="71"/>
      <x:c r="N107" s="71"/>
      <x:c r="O107" s="71"/>
      <x:c r="P107" s="71"/>
      <x:c r="Q107" s="71"/>
      <x:c r="R107" s="71"/>
      <x:c r="S107" s="71"/>
      <x:c r="T107" s="71"/>
      <x:c r="U107" s="71"/>
      <x:c r="V107" s="71"/>
      <x:c r="W107" s="71"/>
      <x:c r="X107" s="71"/>
      <x:c r="Y107" s="71"/>
      <x:c r="Z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71"/>
      <x:c r="T108" s="71"/>
      <x:c r="U108" s="71"/>
      <x:c r="V108" s="71"/>
      <x:c r="W108" s="71"/>
      <x:c r="X108" s="71"/>
      <x:c r="Y108" s="71"/>
      <x:c r="Z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1"/>
      <x:c r="J109" s="71"/>
      <x:c r="K109" s="71"/>
      <x:c r="L109" s="71"/>
      <x:c r="M109" s="71"/>
      <x:c r="N109" s="71"/>
      <x:c r="O109" s="71"/>
      <x:c r="P109" s="71"/>
      <x:c r="Q109" s="71"/>
      <x:c r="R109" s="71"/>
      <x:c r="S109" s="71"/>
      <x:c r="T109" s="71"/>
      <x:c r="U109" s="71"/>
      <x:c r="V109" s="71"/>
      <x:c r="W109" s="71"/>
      <x:c r="X109" s="71"/>
      <x:c r="Y109" s="71"/>
      <x:c r="Z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1"/>
      <x:c r="J110" s="71"/>
      <x:c r="K110" s="71"/>
      <x:c r="L110" s="71"/>
      <x:c r="M110" s="71"/>
      <x:c r="N110" s="71"/>
      <x:c r="O110" s="71"/>
      <x:c r="P110" s="71"/>
      <x:c r="Q110" s="71"/>
      <x:c r="R110" s="71"/>
      <x:c r="S110" s="71"/>
      <x:c r="T110" s="71"/>
      <x:c r="U110" s="71"/>
      <x:c r="V110" s="71"/>
      <x:c r="W110" s="71"/>
      <x:c r="X110" s="71"/>
      <x:c r="Y110" s="71"/>
      <x:c r="Z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71"/>
      <x:c r="T111" s="71"/>
      <x:c r="U111" s="71"/>
      <x:c r="V111" s="71"/>
      <x:c r="W111" s="71"/>
      <x:c r="X111" s="71"/>
      <x:c r="Y111" s="71"/>
      <x:c r="Z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1"/>
      <x:c r="J112" s="71"/>
      <x:c r="K112" s="71"/>
      <x:c r="L112" s="71"/>
      <x:c r="M112" s="71"/>
      <x:c r="N112" s="71"/>
      <x:c r="O112" s="71"/>
      <x:c r="P112" s="71"/>
      <x:c r="Q112" s="71"/>
      <x:c r="R112" s="71"/>
      <x:c r="S112" s="71"/>
      <x:c r="T112" s="71"/>
      <x:c r="U112" s="71"/>
      <x:c r="V112" s="71"/>
      <x:c r="W112" s="71"/>
      <x:c r="X112" s="71"/>
      <x:c r="Y112" s="71"/>
      <x:c r="Z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1"/>
      <x:c r="J113" s="71"/>
      <x:c r="K113" s="71"/>
      <x:c r="L113" s="71"/>
      <x:c r="M113" s="71"/>
      <x:c r="N113" s="71"/>
      <x:c r="O113" s="71"/>
      <x:c r="P113" s="71"/>
      <x:c r="Q113" s="71"/>
      <x:c r="R113" s="71"/>
      <x:c r="S113" s="71"/>
      <x:c r="T113" s="71"/>
      <x:c r="U113" s="71"/>
      <x:c r="V113" s="71"/>
      <x:c r="W113" s="71"/>
      <x:c r="X113" s="71"/>
      <x:c r="Y113" s="71"/>
      <x:c r="Z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1"/>
      <x:c r="J114" s="71"/>
      <x:c r="K114" s="71"/>
      <x:c r="L114" s="71"/>
      <x:c r="M114" s="71"/>
      <x:c r="N114" s="71"/>
      <x:c r="O114" s="71"/>
      <x:c r="P114" s="71"/>
      <x:c r="Q114" s="71"/>
      <x:c r="R114" s="71"/>
      <x:c r="S114" s="71"/>
      <x:c r="T114" s="71"/>
      <x:c r="U114" s="71"/>
      <x:c r="V114" s="71"/>
      <x:c r="W114" s="71"/>
      <x:c r="X114" s="71"/>
      <x:c r="Y114" s="71"/>
      <x:c r="Z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1"/>
      <x:c r="J115" s="71"/>
      <x:c r="K115" s="71"/>
      <x:c r="L115" s="71"/>
      <x:c r="M115" s="71"/>
      <x:c r="N115" s="71"/>
      <x:c r="O115" s="71"/>
      <x:c r="P115" s="71"/>
      <x:c r="Q115" s="71"/>
      <x:c r="R115" s="71"/>
      <x:c r="S115" s="71"/>
      <x:c r="T115" s="71"/>
      <x:c r="U115" s="71"/>
      <x:c r="V115" s="71"/>
      <x:c r="W115" s="71"/>
      <x:c r="X115" s="71"/>
      <x:c r="Y115" s="71"/>
      <x:c r="Z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1"/>
      <x:c r="J116" s="71"/>
      <x:c r="K116" s="71"/>
      <x:c r="L116" s="71"/>
      <x:c r="M116" s="71"/>
      <x:c r="N116" s="71"/>
      <x:c r="O116" s="71"/>
      <x:c r="P116" s="71"/>
      <x:c r="Q116" s="71"/>
      <x:c r="R116" s="71"/>
      <x:c r="S116" s="71"/>
      <x:c r="T116" s="71"/>
      <x:c r="U116" s="71"/>
      <x:c r="V116" s="71"/>
      <x:c r="W116" s="71"/>
      <x:c r="X116" s="71"/>
      <x:c r="Y116" s="71"/>
      <x:c r="Z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71"/>
      <x:c r="M117" s="71"/>
      <x:c r="N117" s="71"/>
      <x:c r="O117" s="71"/>
      <x:c r="P117" s="71"/>
      <x:c r="Q117" s="71"/>
      <x:c r="R117" s="71"/>
      <x:c r="S117" s="71"/>
      <x:c r="T117" s="71"/>
      <x:c r="U117" s="71"/>
      <x:c r="V117" s="71"/>
      <x:c r="W117" s="71"/>
      <x:c r="X117" s="71"/>
      <x:c r="Y117" s="71"/>
      <x:c r="Z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1"/>
      <x:c r="J118" s="71"/>
      <x:c r="K118" s="71"/>
      <x:c r="L118" s="71"/>
      <x:c r="M118" s="71"/>
      <x:c r="N118" s="71"/>
      <x:c r="O118" s="71"/>
      <x:c r="P118" s="71"/>
      <x:c r="Q118" s="71"/>
      <x:c r="R118" s="71"/>
      <x:c r="S118" s="71"/>
      <x:c r="T118" s="71"/>
      <x:c r="U118" s="71"/>
      <x:c r="V118" s="71"/>
      <x:c r="W118" s="71"/>
      <x:c r="X118" s="71"/>
      <x:c r="Y118" s="71"/>
      <x:c r="Z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1"/>
      <x:c r="J119" s="71"/>
      <x:c r="K119" s="71"/>
      <x:c r="L119" s="71"/>
      <x:c r="M119" s="71"/>
      <x:c r="N119" s="71"/>
      <x:c r="O119" s="71"/>
      <x:c r="P119" s="71"/>
      <x:c r="Q119" s="71"/>
      <x:c r="R119" s="71"/>
      <x:c r="S119" s="71"/>
      <x:c r="T119" s="71"/>
      <x:c r="U119" s="71"/>
      <x:c r="V119" s="71"/>
      <x:c r="W119" s="71"/>
      <x:c r="X119" s="71"/>
      <x:c r="Y119" s="71"/>
      <x:c r="Z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1"/>
      <x:c r="J120" s="71"/>
      <x:c r="K120" s="71"/>
      <x:c r="L120" s="71"/>
      <x:c r="M120" s="71"/>
      <x:c r="N120" s="71"/>
      <x:c r="O120" s="71"/>
      <x:c r="P120" s="71"/>
      <x:c r="Q120" s="71"/>
      <x:c r="R120" s="71"/>
      <x:c r="S120" s="71"/>
      <x:c r="T120" s="71"/>
      <x:c r="U120" s="71"/>
      <x:c r="V120" s="71"/>
      <x:c r="W120" s="71"/>
      <x:c r="X120" s="71"/>
      <x:c r="Y120" s="71"/>
      <x:c r="Z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71"/>
      <x:c r="T121" s="71"/>
      <x:c r="U121" s="71"/>
      <x:c r="V121" s="71"/>
      <x:c r="W121" s="71"/>
      <x:c r="X121" s="71"/>
      <x:c r="Y121" s="71"/>
      <x:c r="Z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1"/>
      <x:c r="J122" s="71"/>
      <x:c r="K122" s="71"/>
      <x:c r="L122" s="71"/>
      <x:c r="M122" s="71"/>
      <x:c r="N122" s="71"/>
      <x:c r="O122" s="71"/>
      <x:c r="P122" s="71"/>
      <x:c r="Q122" s="71"/>
      <x:c r="R122" s="71"/>
      <x:c r="S122" s="71"/>
      <x:c r="T122" s="71"/>
      <x:c r="U122" s="71"/>
      <x:c r="V122" s="71"/>
      <x:c r="W122" s="71"/>
      <x:c r="X122" s="71"/>
      <x:c r="Y122" s="71"/>
      <x:c r="Z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1"/>
      <x:c r="J123" s="71"/>
      <x:c r="K123" s="71"/>
      <x:c r="L123" s="71"/>
      <x:c r="M123" s="71"/>
      <x:c r="N123" s="71"/>
      <x:c r="O123" s="71"/>
      <x:c r="P123" s="71"/>
      <x:c r="Q123" s="71"/>
      <x:c r="R123" s="71"/>
      <x:c r="S123" s="71"/>
      <x:c r="T123" s="71"/>
      <x:c r="U123" s="71"/>
      <x:c r="V123" s="71"/>
      <x:c r="W123" s="71"/>
      <x:c r="X123" s="71"/>
      <x:c r="Y123" s="71"/>
      <x:c r="Z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1"/>
      <x:c r="J124" s="71"/>
      <x:c r="K124" s="71"/>
      <x:c r="L124" s="71"/>
      <x:c r="M124" s="71"/>
      <x:c r="N124" s="71"/>
      <x:c r="O124" s="71"/>
      <x:c r="P124" s="71"/>
      <x:c r="Q124" s="71"/>
      <x:c r="R124" s="71"/>
      <x:c r="S124" s="71"/>
      <x:c r="T124" s="71"/>
      <x:c r="U124" s="71"/>
      <x:c r="V124" s="71"/>
      <x:c r="W124" s="71"/>
      <x:c r="X124" s="71"/>
      <x:c r="Y124" s="71"/>
      <x:c r="Z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1"/>
      <x:c r="J125" s="71"/>
      <x:c r="K125" s="71"/>
      <x:c r="L125" s="71"/>
      <x:c r="M125" s="71"/>
      <x:c r="N125" s="71"/>
      <x:c r="O125" s="71"/>
      <x:c r="P125" s="71"/>
      <x:c r="Q125" s="71"/>
      <x:c r="R125" s="71"/>
      <x:c r="S125" s="71"/>
      <x:c r="T125" s="71"/>
      <x:c r="U125" s="71"/>
      <x:c r="V125" s="71"/>
      <x:c r="W125" s="71"/>
      <x:c r="X125" s="71"/>
      <x:c r="Y125" s="71"/>
      <x:c r="Z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1"/>
      <x:c r="J126" s="71"/>
      <x:c r="K126" s="71"/>
      <x:c r="L126" s="71"/>
      <x:c r="M126" s="71"/>
      <x:c r="N126" s="71"/>
      <x:c r="O126" s="71"/>
      <x:c r="P126" s="71"/>
      <x:c r="Q126" s="71"/>
      <x:c r="R126" s="71"/>
      <x:c r="S126" s="71"/>
      <x:c r="T126" s="71"/>
      <x:c r="U126" s="71"/>
      <x:c r="V126" s="71"/>
      <x:c r="W126" s="71"/>
      <x:c r="X126" s="71"/>
      <x:c r="Y126" s="71"/>
      <x:c r="Z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1"/>
      <x:c r="J127" s="71"/>
      <x:c r="K127" s="71"/>
      <x:c r="L127" s="71"/>
      <x:c r="M127" s="71"/>
      <x:c r="N127" s="71"/>
      <x:c r="O127" s="71"/>
      <x:c r="P127" s="71"/>
      <x:c r="Q127" s="71"/>
      <x:c r="R127" s="71"/>
      <x:c r="S127" s="71"/>
      <x:c r="T127" s="71"/>
      <x:c r="U127" s="71"/>
      <x:c r="V127" s="71"/>
      <x:c r="W127" s="71"/>
      <x:c r="X127" s="71"/>
      <x:c r="Y127" s="71"/>
      <x:c r="Z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1"/>
      <x:c r="J128" s="71"/>
      <x:c r="K128" s="71"/>
      <x:c r="L128" s="71"/>
      <x:c r="M128" s="71"/>
      <x:c r="N128" s="71"/>
      <x:c r="O128" s="71"/>
      <x:c r="P128" s="71"/>
      <x:c r="Q128" s="71"/>
      <x:c r="R128" s="71"/>
      <x:c r="S128" s="71"/>
      <x:c r="T128" s="71"/>
      <x:c r="U128" s="71"/>
      <x:c r="V128" s="71"/>
      <x:c r="W128" s="71"/>
      <x:c r="X128" s="71"/>
      <x:c r="Y128" s="71"/>
      <x:c r="Z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1"/>
      <x:c r="J129" s="71"/>
      <x:c r="K129" s="71"/>
      <x:c r="L129" s="71"/>
      <x:c r="M129" s="71"/>
      <x:c r="N129" s="71"/>
      <x:c r="O129" s="71"/>
      <x:c r="P129" s="71"/>
      <x:c r="Q129" s="71"/>
      <x:c r="R129" s="71"/>
      <x:c r="S129" s="71"/>
      <x:c r="T129" s="71"/>
      <x:c r="U129" s="71"/>
      <x:c r="V129" s="71"/>
      <x:c r="W129" s="71"/>
      <x:c r="X129" s="71"/>
      <x:c r="Y129" s="71"/>
      <x:c r="Z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1"/>
      <x:c r="J130" s="71"/>
      <x:c r="K130" s="71"/>
      <x:c r="L130" s="71"/>
      <x:c r="M130" s="71"/>
      <x:c r="N130" s="71"/>
      <x:c r="O130" s="71"/>
      <x:c r="P130" s="71"/>
      <x:c r="Q130" s="71"/>
      <x:c r="R130" s="71"/>
      <x:c r="S130" s="71"/>
      <x:c r="T130" s="71"/>
      <x:c r="U130" s="71"/>
      <x:c r="V130" s="71"/>
      <x:c r="W130" s="71"/>
      <x:c r="X130" s="71"/>
      <x:c r="Y130" s="71"/>
      <x:c r="Z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1"/>
      <x:c r="J131" s="71"/>
      <x:c r="K131" s="71"/>
      <x:c r="L131" s="71"/>
      <x:c r="M131" s="71"/>
      <x:c r="N131" s="71"/>
      <x:c r="O131" s="71"/>
      <x:c r="P131" s="71"/>
      <x:c r="Q131" s="71"/>
      <x:c r="R131" s="71"/>
      <x:c r="S131" s="71"/>
      <x:c r="T131" s="71"/>
      <x:c r="U131" s="71"/>
      <x:c r="V131" s="71"/>
      <x:c r="W131" s="71"/>
      <x:c r="X131" s="71"/>
      <x:c r="Y131" s="71"/>
      <x:c r="Z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71"/>
      <x:c r="T132" s="71"/>
      <x:c r="U132" s="71"/>
      <x:c r="V132" s="71"/>
      <x:c r="W132" s="71"/>
      <x:c r="X132" s="71"/>
      <x:c r="Y132" s="71"/>
      <x:c r="Z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1"/>
      <x:c r="J133" s="71"/>
      <x:c r="K133" s="71"/>
      <x:c r="L133" s="71"/>
      <x:c r="M133" s="71"/>
      <x:c r="N133" s="71"/>
      <x:c r="O133" s="71"/>
      <x:c r="P133" s="71"/>
      <x:c r="Q133" s="71"/>
      <x:c r="R133" s="71"/>
      <x:c r="S133" s="71"/>
      <x:c r="T133" s="71"/>
      <x:c r="U133" s="71"/>
      <x:c r="V133" s="71"/>
      <x:c r="W133" s="71"/>
      <x:c r="X133" s="71"/>
      <x:c r="Y133" s="71"/>
      <x:c r="Z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1"/>
      <x:c r="J134" s="71"/>
      <x:c r="K134" s="71"/>
      <x:c r="L134" s="71"/>
      <x:c r="M134" s="71"/>
      <x:c r="N134" s="71"/>
      <x:c r="O134" s="71"/>
      <x:c r="P134" s="71"/>
      <x:c r="Q134" s="71"/>
      <x:c r="R134" s="71"/>
      <x:c r="S134" s="71"/>
      <x:c r="T134" s="71"/>
      <x:c r="U134" s="71"/>
      <x:c r="V134" s="71"/>
      <x:c r="W134" s="71"/>
      <x:c r="X134" s="71"/>
      <x:c r="Y134" s="71"/>
      <x:c r="Z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1"/>
      <x:c r="J135" s="71"/>
      <x:c r="K135" s="71"/>
      <x:c r="L135" s="71"/>
      <x:c r="M135" s="71"/>
      <x:c r="N135" s="71"/>
      <x:c r="O135" s="71"/>
      <x:c r="P135" s="71"/>
      <x:c r="Q135" s="71"/>
      <x:c r="R135" s="71"/>
      <x:c r="S135" s="71"/>
      <x:c r="T135" s="71"/>
      <x:c r="U135" s="71"/>
      <x:c r="V135" s="71"/>
      <x:c r="W135" s="71"/>
      <x:c r="X135" s="71"/>
      <x:c r="Y135" s="71"/>
      <x:c r="Z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1"/>
      <x:c r="J136" s="71"/>
      <x:c r="K136" s="71"/>
      <x:c r="L136" s="71"/>
      <x:c r="M136" s="71"/>
      <x:c r="N136" s="71"/>
      <x:c r="O136" s="71"/>
      <x:c r="P136" s="71"/>
      <x:c r="Q136" s="71"/>
      <x:c r="R136" s="71"/>
      <x:c r="S136" s="71"/>
      <x:c r="T136" s="71"/>
      <x:c r="U136" s="71"/>
      <x:c r="V136" s="71"/>
      <x:c r="W136" s="71"/>
      <x:c r="X136" s="71"/>
      <x:c r="Y136" s="71"/>
      <x:c r="Z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1"/>
      <x:c r="J137" s="71"/>
      <x:c r="K137" s="71"/>
      <x:c r="L137" s="71"/>
      <x:c r="M137" s="71"/>
      <x:c r="N137" s="71"/>
      <x:c r="O137" s="71"/>
      <x:c r="P137" s="71"/>
      <x:c r="Q137" s="71"/>
      <x:c r="R137" s="71"/>
      <x:c r="S137" s="71"/>
      <x:c r="T137" s="71"/>
      <x:c r="U137" s="71"/>
      <x:c r="V137" s="71"/>
      <x:c r="W137" s="71"/>
      <x:c r="X137" s="71"/>
      <x:c r="Y137" s="71"/>
      <x:c r="Z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1"/>
      <x:c r="J138" s="71"/>
      <x:c r="K138" s="71"/>
      <x:c r="L138" s="71"/>
      <x:c r="M138" s="71"/>
      <x:c r="N138" s="71"/>
      <x:c r="O138" s="71"/>
      <x:c r="P138" s="71"/>
      <x:c r="Q138" s="71"/>
      <x:c r="R138" s="71"/>
      <x:c r="S138" s="71"/>
      <x:c r="T138" s="71"/>
      <x:c r="U138" s="71"/>
      <x:c r="V138" s="71"/>
      <x:c r="W138" s="71"/>
      <x:c r="X138" s="71"/>
      <x:c r="Y138" s="71"/>
      <x:c r="Z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1"/>
      <x:c r="J139" s="71"/>
      <x:c r="K139" s="71"/>
      <x:c r="L139" s="71"/>
      <x:c r="M139" s="71"/>
      <x:c r="N139" s="71"/>
      <x:c r="O139" s="71"/>
      <x:c r="P139" s="71"/>
      <x:c r="Q139" s="71"/>
      <x:c r="R139" s="71"/>
      <x:c r="S139" s="71"/>
      <x:c r="T139" s="71"/>
      <x:c r="U139" s="71"/>
      <x:c r="V139" s="71"/>
      <x:c r="W139" s="71"/>
      <x:c r="X139" s="71"/>
      <x:c r="Y139" s="71"/>
      <x:c r="Z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1"/>
      <x:c r="J140" s="71"/>
      <x:c r="K140" s="71"/>
      <x:c r="L140" s="71"/>
      <x:c r="M140" s="71"/>
      <x:c r="N140" s="71"/>
      <x:c r="O140" s="71"/>
      <x:c r="P140" s="71"/>
      <x:c r="Q140" s="71"/>
      <x:c r="R140" s="71"/>
      <x:c r="S140" s="71"/>
      <x:c r="T140" s="71"/>
      <x:c r="U140" s="71"/>
      <x:c r="V140" s="71"/>
      <x:c r="W140" s="71"/>
      <x:c r="X140" s="71"/>
      <x:c r="Y140" s="71"/>
      <x:c r="Z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1"/>
      <x:c r="J141" s="71"/>
      <x:c r="K141" s="71"/>
      <x:c r="L141" s="71"/>
      <x:c r="M141" s="71"/>
      <x:c r="N141" s="71"/>
      <x:c r="O141" s="71"/>
      <x:c r="P141" s="71"/>
      <x:c r="Q141" s="71"/>
      <x:c r="R141" s="71"/>
      <x:c r="S141" s="71"/>
      <x:c r="T141" s="71"/>
      <x:c r="U141" s="71"/>
      <x:c r="V141" s="71"/>
      <x:c r="W141" s="71"/>
      <x:c r="X141" s="71"/>
      <x:c r="Y141" s="71"/>
      <x:c r="Z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71"/>
      <x:c r="T142" s="71"/>
      <x:c r="U142" s="71"/>
      <x:c r="V142" s="71"/>
      <x:c r="W142" s="71"/>
      <x:c r="X142" s="71"/>
      <x:c r="Y142" s="71"/>
      <x:c r="Z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1"/>
      <x:c r="J143" s="71"/>
      <x:c r="K143" s="71"/>
      <x:c r="L143" s="71"/>
      <x:c r="M143" s="71"/>
      <x:c r="N143" s="71"/>
      <x:c r="O143" s="71"/>
      <x:c r="P143" s="71"/>
      <x:c r="Q143" s="71"/>
      <x:c r="R143" s="71"/>
      <x:c r="S143" s="71"/>
      <x:c r="T143" s="71"/>
      <x:c r="U143" s="71"/>
      <x:c r="V143" s="71"/>
      <x:c r="W143" s="71"/>
      <x:c r="X143" s="71"/>
      <x:c r="Y143" s="71"/>
      <x:c r="Z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1"/>
      <x:c r="J144" s="71"/>
      <x:c r="K144" s="71"/>
      <x:c r="L144" s="71"/>
      <x:c r="M144" s="71"/>
      <x:c r="N144" s="71"/>
      <x:c r="O144" s="71"/>
      <x:c r="P144" s="71"/>
      <x:c r="Q144" s="71"/>
      <x:c r="R144" s="71"/>
      <x:c r="S144" s="71"/>
      <x:c r="T144" s="71"/>
      <x:c r="U144" s="71"/>
      <x:c r="V144" s="71"/>
      <x:c r="W144" s="71"/>
      <x:c r="X144" s="71"/>
      <x:c r="Y144" s="71"/>
      <x:c r="Z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1"/>
      <x:c r="J145" s="71"/>
      <x:c r="K145" s="71"/>
      <x:c r="L145" s="71"/>
      <x:c r="M145" s="71"/>
      <x:c r="N145" s="71"/>
      <x:c r="O145" s="71"/>
      <x:c r="P145" s="71"/>
      <x:c r="Q145" s="71"/>
      <x:c r="R145" s="71"/>
      <x:c r="S145" s="71"/>
      <x:c r="T145" s="71"/>
      <x:c r="U145" s="71"/>
      <x:c r="V145" s="71"/>
      <x:c r="W145" s="71"/>
      <x:c r="X145" s="71"/>
      <x:c r="Y145" s="71"/>
      <x:c r="Z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1"/>
      <x:c r="J146" s="71"/>
      <x:c r="K146" s="71"/>
      <x:c r="L146" s="71"/>
      <x:c r="M146" s="71"/>
      <x:c r="N146" s="71"/>
      <x:c r="O146" s="71"/>
      <x:c r="P146" s="71"/>
      <x:c r="Q146" s="71"/>
      <x:c r="R146" s="71"/>
      <x:c r="S146" s="71"/>
      <x:c r="T146" s="71"/>
      <x:c r="U146" s="71"/>
      <x:c r="V146" s="71"/>
      <x:c r="W146" s="71"/>
      <x:c r="X146" s="71"/>
      <x:c r="Y146" s="71"/>
      <x:c r="Z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1"/>
      <x:c r="J147" s="71"/>
      <x:c r="K147" s="71"/>
      <x:c r="L147" s="71"/>
      <x:c r="M147" s="71"/>
      <x:c r="N147" s="71"/>
      <x:c r="O147" s="71"/>
      <x:c r="P147" s="71"/>
      <x:c r="Q147" s="71"/>
      <x:c r="R147" s="71"/>
      <x:c r="S147" s="71"/>
      <x:c r="T147" s="71"/>
      <x:c r="U147" s="71"/>
      <x:c r="V147" s="71"/>
      <x:c r="W147" s="71"/>
      <x:c r="X147" s="71"/>
      <x:c r="Y147" s="71"/>
      <x:c r="Z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71"/>
      <x:c r="T148" s="71"/>
      <x:c r="U148" s="71"/>
      <x:c r="V148" s="71"/>
      <x:c r="W148" s="71"/>
      <x:c r="X148" s="71"/>
      <x:c r="Y148" s="71"/>
      <x:c r="Z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1"/>
      <x:c r="J149" s="71"/>
      <x:c r="K149" s="71"/>
      <x:c r="L149" s="71"/>
      <x:c r="M149" s="71"/>
      <x:c r="N149" s="71"/>
      <x:c r="O149" s="71"/>
      <x:c r="P149" s="71"/>
      <x:c r="Q149" s="71"/>
      <x:c r="R149" s="71"/>
      <x:c r="S149" s="71"/>
      <x:c r="T149" s="71"/>
      <x:c r="U149" s="71"/>
      <x:c r="V149" s="71"/>
      <x:c r="W149" s="71"/>
      <x:c r="X149" s="71"/>
      <x:c r="Y149" s="71"/>
      <x:c r="Z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1"/>
      <x:c r="J150" s="71"/>
      <x:c r="K150" s="71"/>
      <x:c r="L150" s="71"/>
      <x:c r="M150" s="71"/>
      <x:c r="N150" s="71"/>
      <x:c r="O150" s="71"/>
      <x:c r="P150" s="71"/>
      <x:c r="Q150" s="71"/>
      <x:c r="R150" s="71"/>
      <x:c r="S150" s="71"/>
      <x:c r="T150" s="71"/>
      <x:c r="U150" s="71"/>
      <x:c r="V150" s="71"/>
      <x:c r="W150" s="71"/>
      <x:c r="X150" s="71"/>
      <x:c r="Y150" s="71"/>
      <x:c r="Z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1"/>
      <x:c r="J151" s="71"/>
      <x:c r="K151" s="71"/>
      <x:c r="L151" s="71"/>
      <x:c r="M151" s="71"/>
      <x:c r="N151" s="71"/>
      <x:c r="O151" s="71"/>
      <x:c r="P151" s="71"/>
      <x:c r="Q151" s="71"/>
      <x:c r="R151" s="71"/>
      <x:c r="S151" s="71"/>
      <x:c r="T151" s="71"/>
      <x:c r="U151" s="71"/>
      <x:c r="V151" s="71"/>
      <x:c r="W151" s="71"/>
      <x:c r="X151" s="71"/>
      <x:c r="Y151" s="71"/>
      <x:c r="Z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1"/>
      <x:c r="J152" s="71"/>
      <x:c r="K152" s="71"/>
      <x:c r="L152" s="71"/>
      <x:c r="M152" s="71"/>
      <x:c r="N152" s="71"/>
      <x:c r="O152" s="71"/>
      <x:c r="P152" s="71"/>
      <x:c r="Q152" s="71"/>
      <x:c r="R152" s="71"/>
      <x:c r="S152" s="71"/>
      <x:c r="T152" s="71"/>
      <x:c r="U152" s="71"/>
      <x:c r="V152" s="71"/>
      <x:c r="W152" s="71"/>
      <x:c r="X152" s="71"/>
      <x:c r="Y152" s="71"/>
      <x:c r="Z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1"/>
      <x:c r="J153" s="71"/>
      <x:c r="K153" s="71"/>
      <x:c r="L153" s="71"/>
      <x:c r="M153" s="71"/>
      <x:c r="N153" s="71"/>
      <x:c r="O153" s="71"/>
      <x:c r="P153" s="71"/>
      <x:c r="Q153" s="71"/>
      <x:c r="R153" s="71"/>
      <x:c r="S153" s="71"/>
      <x:c r="T153" s="71"/>
      <x:c r="U153" s="71"/>
      <x:c r="V153" s="71"/>
      <x:c r="W153" s="71"/>
      <x:c r="X153" s="71"/>
      <x:c r="Y153" s="71"/>
      <x:c r="Z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71"/>
      <x:c r="T154" s="71"/>
      <x:c r="U154" s="71"/>
      <x:c r="V154" s="71"/>
      <x:c r="W154" s="71"/>
      <x:c r="X154" s="71"/>
      <x:c r="Y154" s="71"/>
      <x:c r="Z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1"/>
      <x:c r="J155" s="71"/>
      <x:c r="K155" s="71"/>
      <x:c r="L155" s="71"/>
      <x:c r="M155" s="71"/>
      <x:c r="N155" s="71"/>
      <x:c r="O155" s="71"/>
      <x:c r="P155" s="71"/>
      <x:c r="Q155" s="71"/>
      <x:c r="R155" s="71"/>
      <x:c r="S155" s="71"/>
      <x:c r="T155" s="71"/>
      <x:c r="U155" s="71"/>
      <x:c r="V155" s="71"/>
      <x:c r="W155" s="71"/>
      <x:c r="X155" s="71"/>
      <x:c r="Y155" s="71"/>
      <x:c r="Z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1"/>
      <x:c r="J156" s="71"/>
      <x:c r="K156" s="71"/>
      <x:c r="L156" s="71"/>
      <x:c r="M156" s="71"/>
      <x:c r="N156" s="71"/>
      <x:c r="O156" s="71"/>
      <x:c r="P156" s="71"/>
      <x:c r="Q156" s="71"/>
      <x:c r="R156" s="71"/>
      <x:c r="S156" s="71"/>
      <x:c r="T156" s="71"/>
      <x:c r="U156" s="71"/>
      <x:c r="V156" s="71"/>
      <x:c r="W156" s="71"/>
      <x:c r="X156" s="71"/>
      <x:c r="Y156" s="71"/>
      <x:c r="Z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1"/>
      <x:c r="J157" s="71"/>
      <x:c r="K157" s="71"/>
      <x:c r="L157" s="71"/>
      <x:c r="M157" s="71"/>
      <x:c r="N157" s="71"/>
      <x:c r="O157" s="71"/>
      <x:c r="P157" s="71"/>
      <x:c r="Q157" s="71"/>
      <x:c r="R157" s="71"/>
      <x:c r="S157" s="71"/>
      <x:c r="T157" s="71"/>
      <x:c r="U157" s="71"/>
      <x:c r="V157" s="71"/>
      <x:c r="W157" s="71"/>
      <x:c r="X157" s="71"/>
      <x:c r="Y157" s="71"/>
      <x:c r="Z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71"/>
      <x:c r="T158" s="71"/>
      <x:c r="U158" s="71"/>
      <x:c r="V158" s="71"/>
      <x:c r="W158" s="71"/>
      <x:c r="X158" s="71"/>
      <x:c r="Y158" s="71"/>
      <x:c r="Z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1"/>
      <x:c r="J159" s="71"/>
      <x:c r="K159" s="71"/>
      <x:c r="L159" s="71"/>
      <x:c r="M159" s="71"/>
      <x:c r="N159" s="71"/>
      <x:c r="O159" s="71"/>
      <x:c r="P159" s="71"/>
      <x:c r="Q159" s="71"/>
      <x:c r="R159" s="71"/>
      <x:c r="S159" s="71"/>
      <x:c r="T159" s="71"/>
      <x:c r="U159" s="71"/>
      <x:c r="V159" s="71"/>
      <x:c r="W159" s="71"/>
      <x:c r="X159" s="71"/>
      <x:c r="Y159" s="71"/>
      <x:c r="Z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1"/>
      <x:c r="J160" s="71"/>
      <x:c r="K160" s="71"/>
      <x:c r="L160" s="71"/>
      <x:c r="M160" s="71"/>
      <x:c r="N160" s="71"/>
      <x:c r="O160" s="71"/>
      <x:c r="P160" s="71"/>
      <x:c r="Q160" s="71"/>
      <x:c r="R160" s="71"/>
      <x:c r="S160" s="71"/>
      <x:c r="T160" s="71"/>
      <x:c r="U160" s="71"/>
      <x:c r="V160" s="71"/>
      <x:c r="W160" s="71"/>
      <x:c r="X160" s="71"/>
      <x:c r="Y160" s="71"/>
      <x:c r="Z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1"/>
      <x:c r="J161" s="71"/>
      <x:c r="K161" s="71"/>
      <x:c r="L161" s="71"/>
      <x:c r="M161" s="71"/>
      <x:c r="N161" s="71"/>
      <x:c r="O161" s="71"/>
      <x:c r="P161" s="71"/>
      <x:c r="Q161" s="71"/>
      <x:c r="R161" s="71"/>
      <x:c r="S161" s="71"/>
      <x:c r="T161" s="71"/>
      <x:c r="U161" s="71"/>
      <x:c r="V161" s="71"/>
      <x:c r="W161" s="71"/>
      <x:c r="X161" s="71"/>
      <x:c r="Y161" s="71"/>
      <x:c r="Z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1"/>
      <x:c r="J162" s="71"/>
      <x:c r="K162" s="71"/>
      <x:c r="L162" s="71"/>
      <x:c r="M162" s="71"/>
      <x:c r="N162" s="71"/>
      <x:c r="O162" s="71"/>
      <x:c r="P162" s="71"/>
      <x:c r="Q162" s="71"/>
      <x:c r="R162" s="71"/>
      <x:c r="S162" s="71"/>
      <x:c r="T162" s="71"/>
      <x:c r="U162" s="71"/>
      <x:c r="V162" s="71"/>
      <x:c r="W162" s="71"/>
      <x:c r="X162" s="71"/>
      <x:c r="Y162" s="71"/>
      <x:c r="Z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1"/>
      <x:c r="J163" s="71"/>
      <x:c r="K163" s="71"/>
      <x:c r="L163" s="71"/>
      <x:c r="M163" s="71"/>
      <x:c r="N163" s="71"/>
      <x:c r="O163" s="71"/>
      <x:c r="P163" s="71"/>
      <x:c r="Q163" s="71"/>
      <x:c r="R163" s="71"/>
      <x:c r="S163" s="71"/>
      <x:c r="T163" s="71"/>
      <x:c r="U163" s="71"/>
      <x:c r="V163" s="71"/>
      <x:c r="W163" s="71"/>
      <x:c r="X163" s="71"/>
      <x:c r="Y163" s="71"/>
      <x:c r="Z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1"/>
      <x:c r="J164" s="71"/>
      <x:c r="K164" s="71"/>
      <x:c r="L164" s="71"/>
      <x:c r="M164" s="71"/>
      <x:c r="N164" s="71"/>
      <x:c r="O164" s="71"/>
      <x:c r="P164" s="71"/>
      <x:c r="Q164" s="71"/>
      <x:c r="R164" s="71"/>
      <x:c r="S164" s="71"/>
      <x:c r="T164" s="71"/>
      <x:c r="U164" s="71"/>
      <x:c r="V164" s="71"/>
      <x:c r="W164" s="71"/>
      <x:c r="X164" s="71"/>
      <x:c r="Y164" s="71"/>
      <x:c r="Z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1"/>
      <x:c r="J165" s="71"/>
      <x:c r="K165" s="71"/>
      <x:c r="L165" s="71"/>
      <x:c r="M165" s="71"/>
      <x:c r="N165" s="71"/>
      <x:c r="O165" s="71"/>
      <x:c r="P165" s="71"/>
      <x:c r="Q165" s="71"/>
      <x:c r="R165" s="71"/>
      <x:c r="S165" s="71"/>
      <x:c r="T165" s="71"/>
      <x:c r="U165" s="71"/>
      <x:c r="V165" s="71"/>
      <x:c r="W165" s="71"/>
      <x:c r="X165" s="71"/>
      <x:c r="Y165" s="71"/>
      <x:c r="Z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1"/>
      <x:c r="J166" s="71"/>
      <x:c r="K166" s="71"/>
      <x:c r="L166" s="71"/>
      <x:c r="M166" s="71"/>
      <x:c r="N166" s="71"/>
      <x:c r="O166" s="71"/>
      <x:c r="P166" s="71"/>
      <x:c r="Q166" s="71"/>
      <x:c r="R166" s="71"/>
      <x:c r="S166" s="71"/>
      <x:c r="T166" s="71"/>
      <x:c r="U166" s="71"/>
      <x:c r="V166" s="71"/>
      <x:c r="W166" s="71"/>
      <x:c r="X166" s="71"/>
      <x:c r="Y166" s="71"/>
      <x:c r="Z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71"/>
      <x:c r="T167" s="71"/>
      <x:c r="U167" s="71"/>
      <x:c r="V167" s="71"/>
      <x:c r="W167" s="71"/>
      <x:c r="X167" s="71"/>
      <x:c r="Y167" s="71"/>
      <x:c r="Z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1"/>
      <x:c r="J168" s="71"/>
      <x:c r="K168" s="71"/>
      <x:c r="L168" s="71"/>
      <x:c r="M168" s="71"/>
      <x:c r="N168" s="71"/>
      <x:c r="O168" s="71"/>
      <x:c r="P168" s="71"/>
      <x:c r="Q168" s="71"/>
      <x:c r="R168" s="71"/>
      <x:c r="S168" s="71"/>
      <x:c r="T168" s="71"/>
      <x:c r="U168" s="71"/>
      <x:c r="V168" s="71"/>
      <x:c r="W168" s="71"/>
      <x:c r="X168" s="71"/>
      <x:c r="Y168" s="71"/>
      <x:c r="Z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1"/>
      <x:c r="J169" s="71"/>
      <x:c r="K169" s="71"/>
      <x:c r="L169" s="71"/>
      <x:c r="M169" s="71"/>
      <x:c r="N169" s="71"/>
      <x:c r="O169" s="71"/>
      <x:c r="P169" s="71"/>
      <x:c r="Q169" s="71"/>
      <x:c r="R169" s="71"/>
      <x:c r="S169" s="71"/>
      <x:c r="T169" s="71"/>
      <x:c r="U169" s="71"/>
      <x:c r="V169" s="71"/>
      <x:c r="W169" s="71"/>
      <x:c r="X169" s="71"/>
      <x:c r="Y169" s="71"/>
      <x:c r="Z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1"/>
      <x:c r="J170" s="71"/>
      <x:c r="K170" s="71"/>
      <x:c r="L170" s="71"/>
      <x:c r="M170" s="71"/>
      <x:c r="N170" s="71"/>
      <x:c r="O170" s="71"/>
      <x:c r="P170" s="71"/>
      <x:c r="Q170" s="71"/>
      <x:c r="R170" s="71"/>
      <x:c r="S170" s="71"/>
      <x:c r="T170" s="71"/>
      <x:c r="U170" s="71"/>
      <x:c r="V170" s="71"/>
      <x:c r="W170" s="71"/>
      <x:c r="X170" s="71"/>
      <x:c r="Y170" s="71"/>
      <x:c r="Z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1"/>
      <x:c r="J171" s="71"/>
      <x:c r="K171" s="71"/>
      <x:c r="L171" s="71"/>
      <x:c r="M171" s="71"/>
      <x:c r="N171" s="71"/>
      <x:c r="O171" s="71"/>
      <x:c r="P171" s="71"/>
      <x:c r="Q171" s="71"/>
      <x:c r="R171" s="71"/>
      <x:c r="S171" s="71"/>
      <x:c r="T171" s="71"/>
      <x:c r="U171" s="71"/>
      <x:c r="V171" s="71"/>
      <x:c r="W171" s="71"/>
      <x:c r="X171" s="71"/>
      <x:c r="Y171" s="71"/>
      <x:c r="Z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1"/>
      <x:c r="J172" s="71"/>
      <x:c r="K172" s="71"/>
      <x:c r="L172" s="71"/>
      <x:c r="M172" s="71"/>
      <x:c r="N172" s="71"/>
      <x:c r="O172" s="71"/>
      <x:c r="P172" s="71"/>
      <x:c r="Q172" s="71"/>
      <x:c r="R172" s="71"/>
      <x:c r="S172" s="71"/>
      <x:c r="T172" s="71"/>
      <x:c r="U172" s="71"/>
      <x:c r="V172" s="71"/>
      <x:c r="W172" s="71"/>
      <x:c r="X172" s="71"/>
      <x:c r="Y172" s="71"/>
      <x:c r="Z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1"/>
      <x:c r="J173" s="71"/>
      <x:c r="K173" s="71"/>
      <x:c r="L173" s="71"/>
      <x:c r="M173" s="71"/>
      <x:c r="N173" s="71"/>
      <x:c r="O173" s="71"/>
      <x:c r="P173" s="71"/>
      <x:c r="Q173" s="71"/>
      <x:c r="R173" s="71"/>
      <x:c r="S173" s="71"/>
      <x:c r="T173" s="71"/>
      <x:c r="U173" s="71"/>
      <x:c r="V173" s="71"/>
      <x:c r="W173" s="71"/>
      <x:c r="X173" s="71"/>
      <x:c r="Y173" s="71"/>
      <x:c r="Z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1"/>
      <x:c r="J174" s="71"/>
      <x:c r="K174" s="71"/>
      <x:c r="L174" s="71"/>
      <x:c r="M174" s="71"/>
      <x:c r="N174" s="71"/>
      <x:c r="O174" s="71"/>
      <x:c r="P174" s="71"/>
      <x:c r="Q174" s="71"/>
      <x:c r="R174" s="71"/>
      <x:c r="S174" s="71"/>
      <x:c r="T174" s="71"/>
      <x:c r="U174" s="71"/>
      <x:c r="V174" s="71"/>
      <x:c r="W174" s="71"/>
      <x:c r="X174" s="71"/>
      <x:c r="Y174" s="71"/>
      <x:c r="Z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1"/>
      <x:c r="J175" s="71"/>
      <x:c r="K175" s="71"/>
      <x:c r="L175" s="71"/>
      <x:c r="M175" s="71"/>
      <x:c r="N175" s="71"/>
      <x:c r="O175" s="71"/>
      <x:c r="P175" s="71"/>
      <x:c r="Q175" s="71"/>
      <x:c r="R175" s="71"/>
      <x:c r="S175" s="71"/>
      <x:c r="T175" s="71"/>
      <x:c r="U175" s="71"/>
      <x:c r="V175" s="71"/>
      <x:c r="W175" s="71"/>
      <x:c r="X175" s="71"/>
      <x:c r="Y175" s="71"/>
      <x:c r="Z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1"/>
      <x:c r="J176" s="71"/>
      <x:c r="K176" s="71"/>
      <x:c r="L176" s="71"/>
      <x:c r="M176" s="71"/>
      <x:c r="N176" s="71"/>
      <x:c r="O176" s="71"/>
      <x:c r="P176" s="71"/>
      <x:c r="Q176" s="71"/>
      <x:c r="R176" s="71"/>
      <x:c r="S176" s="71"/>
      <x:c r="T176" s="71"/>
      <x:c r="U176" s="71"/>
      <x:c r="V176" s="71"/>
      <x:c r="W176" s="71"/>
      <x:c r="X176" s="71"/>
      <x:c r="Y176" s="71"/>
      <x:c r="Z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1"/>
      <x:c r="J177" s="71"/>
      <x:c r="K177" s="71"/>
      <x:c r="L177" s="71"/>
      <x:c r="M177" s="71"/>
      <x:c r="N177" s="71"/>
      <x:c r="O177" s="71"/>
      <x:c r="P177" s="71"/>
      <x:c r="Q177" s="71"/>
      <x:c r="R177" s="71"/>
      <x:c r="S177" s="71"/>
      <x:c r="T177" s="71"/>
      <x:c r="U177" s="71"/>
      <x:c r="V177" s="71"/>
      <x:c r="W177" s="71"/>
      <x:c r="X177" s="71"/>
      <x:c r="Y177" s="71"/>
      <x:c r="Z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1"/>
      <x:c r="J178" s="71"/>
      <x:c r="K178" s="71"/>
      <x:c r="L178" s="71"/>
      <x:c r="M178" s="71"/>
      <x:c r="N178" s="71"/>
      <x:c r="O178" s="71"/>
      <x:c r="P178" s="71"/>
      <x:c r="Q178" s="71"/>
      <x:c r="R178" s="71"/>
      <x:c r="S178" s="71"/>
      <x:c r="T178" s="71"/>
      <x:c r="U178" s="71"/>
      <x:c r="V178" s="71"/>
      <x:c r="W178" s="71"/>
      <x:c r="X178" s="71"/>
      <x:c r="Y178" s="71"/>
      <x:c r="Z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1"/>
      <x:c r="J179" s="71"/>
      <x:c r="K179" s="71"/>
      <x:c r="L179" s="71"/>
      <x:c r="M179" s="71"/>
      <x:c r="N179" s="71"/>
      <x:c r="O179" s="71"/>
      <x:c r="P179" s="71"/>
      <x:c r="Q179" s="71"/>
      <x:c r="R179" s="71"/>
      <x:c r="S179" s="71"/>
      <x:c r="T179" s="71"/>
      <x:c r="U179" s="71"/>
      <x:c r="V179" s="71"/>
      <x:c r="W179" s="71"/>
      <x:c r="X179" s="71"/>
      <x:c r="Y179" s="71"/>
      <x:c r="Z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1"/>
      <x:c r="J180" s="71"/>
      <x:c r="K180" s="71"/>
      <x:c r="L180" s="71"/>
      <x:c r="M180" s="71"/>
      <x:c r="N180" s="71"/>
      <x:c r="O180" s="71"/>
      <x:c r="P180" s="71"/>
      <x:c r="Q180" s="71"/>
      <x:c r="R180" s="71"/>
      <x:c r="S180" s="71"/>
      <x:c r="T180" s="71"/>
      <x:c r="U180" s="71"/>
      <x:c r="V180" s="71"/>
      <x:c r="W180" s="71"/>
      <x:c r="X180" s="71"/>
      <x:c r="Y180" s="71"/>
      <x:c r="Z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1"/>
      <x:c r="J181" s="71"/>
      <x:c r="K181" s="71"/>
      <x:c r="L181" s="71"/>
      <x:c r="M181" s="71"/>
      <x:c r="N181" s="71"/>
      <x:c r="O181" s="71"/>
      <x:c r="P181" s="71"/>
      <x:c r="Q181" s="71"/>
      <x:c r="R181" s="71"/>
      <x:c r="S181" s="71"/>
      <x:c r="T181" s="71"/>
      <x:c r="U181" s="71"/>
      <x:c r="V181" s="71"/>
      <x:c r="W181" s="71"/>
      <x:c r="X181" s="71"/>
      <x:c r="Y181" s="71"/>
      <x:c r="Z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1"/>
      <x:c r="J182" s="71"/>
      <x:c r="K182" s="71"/>
      <x:c r="L182" s="71"/>
      <x:c r="M182" s="71"/>
      <x:c r="N182" s="71"/>
      <x:c r="O182" s="71"/>
      <x:c r="P182" s="71"/>
      <x:c r="Q182" s="71"/>
      <x:c r="R182" s="71"/>
      <x:c r="S182" s="71"/>
      <x:c r="T182" s="71"/>
      <x:c r="U182" s="71"/>
      <x:c r="V182" s="71"/>
      <x:c r="W182" s="71"/>
      <x:c r="X182" s="71"/>
      <x:c r="Y182" s="71"/>
      <x:c r="Z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1"/>
      <x:c r="J183" s="71"/>
      <x:c r="K183" s="71"/>
      <x:c r="L183" s="71"/>
      <x:c r="M183" s="71"/>
      <x:c r="N183" s="71"/>
      <x:c r="O183" s="71"/>
      <x:c r="P183" s="71"/>
      <x:c r="Q183" s="71"/>
      <x:c r="R183" s="71"/>
      <x:c r="S183" s="71"/>
      <x:c r="T183" s="71"/>
      <x:c r="U183" s="71"/>
      <x:c r="V183" s="71"/>
      <x:c r="W183" s="71"/>
      <x:c r="X183" s="71"/>
      <x:c r="Y183" s="71"/>
      <x:c r="Z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1"/>
      <x:c r="J184" s="71"/>
      <x:c r="K184" s="71"/>
      <x:c r="L184" s="71"/>
      <x:c r="M184" s="71"/>
      <x:c r="N184" s="71"/>
      <x:c r="O184" s="71"/>
      <x:c r="P184" s="71"/>
      <x:c r="Q184" s="71"/>
      <x:c r="R184" s="71"/>
      <x:c r="S184" s="71"/>
      <x:c r="T184" s="71"/>
      <x:c r="U184" s="71"/>
      <x:c r="V184" s="71"/>
      <x:c r="W184" s="71"/>
      <x:c r="X184" s="71"/>
      <x:c r="Y184" s="71"/>
      <x:c r="Z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1"/>
      <x:c r="J185" s="71"/>
      <x:c r="K185" s="71"/>
      <x:c r="L185" s="71"/>
      <x:c r="M185" s="71"/>
      <x:c r="N185" s="71"/>
      <x:c r="O185" s="71"/>
      <x:c r="P185" s="71"/>
      <x:c r="Q185" s="71"/>
      <x:c r="R185" s="71"/>
      <x:c r="S185" s="71"/>
      <x:c r="T185" s="71"/>
      <x:c r="U185" s="71"/>
      <x:c r="V185" s="71"/>
      <x:c r="W185" s="71"/>
      <x:c r="X185" s="71"/>
      <x:c r="Y185" s="71"/>
      <x:c r="Z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1"/>
      <x:c r="J186" s="71"/>
      <x:c r="K186" s="71"/>
      <x:c r="L186" s="71"/>
      <x:c r="M186" s="71"/>
      <x:c r="N186" s="71"/>
      <x:c r="O186" s="71"/>
      <x:c r="P186" s="71"/>
      <x:c r="Q186" s="71"/>
      <x:c r="R186" s="71"/>
      <x:c r="S186" s="71"/>
      <x:c r="T186" s="71"/>
      <x:c r="U186" s="71"/>
      <x:c r="V186" s="71"/>
      <x:c r="W186" s="71"/>
      <x:c r="X186" s="71"/>
      <x:c r="Y186" s="71"/>
      <x:c r="Z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1"/>
      <x:c r="J187" s="71"/>
      <x:c r="K187" s="71"/>
      <x:c r="L187" s="71"/>
      <x:c r="M187" s="71"/>
      <x:c r="N187" s="71"/>
      <x:c r="O187" s="71"/>
      <x:c r="P187" s="71"/>
      <x:c r="Q187" s="71"/>
      <x:c r="R187" s="71"/>
      <x:c r="S187" s="71"/>
      <x:c r="T187" s="71"/>
      <x:c r="U187" s="71"/>
      <x:c r="V187" s="71"/>
      <x:c r="W187" s="71"/>
      <x:c r="X187" s="71"/>
      <x:c r="Y187" s="71"/>
      <x:c r="Z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1"/>
      <x:c r="J188" s="71"/>
      <x:c r="K188" s="71"/>
      <x:c r="L188" s="71"/>
      <x:c r="M188" s="71"/>
      <x:c r="N188" s="71"/>
      <x:c r="O188" s="71"/>
      <x:c r="P188" s="71"/>
      <x:c r="Q188" s="71"/>
      <x:c r="R188" s="71"/>
      <x:c r="S188" s="71"/>
      <x:c r="T188" s="71"/>
      <x:c r="U188" s="71"/>
      <x:c r="V188" s="71"/>
      <x:c r="W188" s="71"/>
      <x:c r="X188" s="71"/>
      <x:c r="Y188" s="71"/>
      <x:c r="Z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1"/>
      <x:c r="J189" s="71"/>
      <x:c r="K189" s="71"/>
      <x:c r="L189" s="71"/>
      <x:c r="M189" s="71"/>
      <x:c r="N189" s="71"/>
      <x:c r="O189" s="71"/>
      <x:c r="P189" s="71"/>
      <x:c r="Q189" s="71"/>
      <x:c r="R189" s="71"/>
      <x:c r="S189" s="71"/>
      <x:c r="T189" s="71"/>
      <x:c r="U189" s="71"/>
      <x:c r="V189" s="71"/>
      <x:c r="W189" s="71"/>
      <x:c r="X189" s="71"/>
      <x:c r="Y189" s="71"/>
      <x:c r="Z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1"/>
      <x:c r="J190" s="71"/>
      <x:c r="K190" s="71"/>
      <x:c r="L190" s="71"/>
      <x:c r="M190" s="71"/>
      <x:c r="N190" s="71"/>
      <x:c r="O190" s="71"/>
      <x:c r="P190" s="71"/>
      <x:c r="Q190" s="71"/>
      <x:c r="R190" s="71"/>
      <x:c r="S190" s="71"/>
      <x:c r="T190" s="71"/>
      <x:c r="U190" s="71"/>
      <x:c r="V190" s="71"/>
      <x:c r="W190" s="71"/>
      <x:c r="X190" s="71"/>
      <x:c r="Y190" s="71"/>
      <x:c r="Z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1"/>
      <x:c r="J191" s="71"/>
      <x:c r="K191" s="71"/>
      <x:c r="L191" s="71"/>
      <x:c r="M191" s="71"/>
      <x:c r="N191" s="71"/>
      <x:c r="O191" s="71"/>
      <x:c r="P191" s="71"/>
      <x:c r="Q191" s="71"/>
      <x:c r="R191" s="71"/>
      <x:c r="S191" s="71"/>
      <x:c r="T191" s="71"/>
      <x:c r="U191" s="71"/>
      <x:c r="V191" s="71"/>
      <x:c r="W191" s="71"/>
      <x:c r="X191" s="71"/>
      <x:c r="Y191" s="71"/>
      <x:c r="Z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1"/>
      <x:c r="J192" s="71"/>
      <x:c r="K192" s="71"/>
      <x:c r="L192" s="71"/>
      <x:c r="M192" s="71"/>
      <x:c r="N192" s="71"/>
      <x:c r="O192" s="71"/>
      <x:c r="P192" s="71"/>
      <x:c r="Q192" s="71"/>
      <x:c r="R192" s="71"/>
      <x:c r="S192" s="71"/>
      <x:c r="T192" s="71"/>
      <x:c r="U192" s="71"/>
      <x:c r="V192" s="71"/>
      <x:c r="W192" s="71"/>
      <x:c r="X192" s="71"/>
      <x:c r="Y192" s="71"/>
      <x:c r="Z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1"/>
      <x:c r="J193" s="71"/>
      <x:c r="K193" s="71"/>
      <x:c r="L193" s="71"/>
      <x:c r="M193" s="71"/>
      <x:c r="N193" s="71"/>
      <x:c r="O193" s="71"/>
      <x:c r="P193" s="71"/>
      <x:c r="Q193" s="71"/>
      <x:c r="R193" s="71"/>
      <x:c r="S193" s="71"/>
      <x:c r="T193" s="71"/>
      <x:c r="U193" s="71"/>
      <x:c r="V193" s="71"/>
      <x:c r="W193" s="71"/>
      <x:c r="X193" s="71"/>
      <x:c r="Y193" s="71"/>
      <x:c r="Z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1"/>
      <x:c r="J194" s="71"/>
      <x:c r="K194" s="71"/>
      <x:c r="L194" s="71"/>
      <x:c r="M194" s="71"/>
      <x:c r="N194" s="71"/>
      <x:c r="O194" s="71"/>
      <x:c r="P194" s="71"/>
      <x:c r="Q194" s="71"/>
      <x:c r="R194" s="71"/>
      <x:c r="S194" s="71"/>
      <x:c r="T194" s="71"/>
      <x:c r="U194" s="71"/>
      <x:c r="V194" s="71"/>
      <x:c r="W194" s="71"/>
      <x:c r="X194" s="71"/>
      <x:c r="Y194" s="71"/>
      <x:c r="Z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1"/>
      <x:c r="J195" s="71"/>
      <x:c r="K195" s="71"/>
      <x:c r="L195" s="71"/>
      <x:c r="M195" s="71"/>
      <x:c r="N195" s="71"/>
      <x:c r="O195" s="71"/>
      <x:c r="P195" s="71"/>
      <x:c r="Q195" s="71"/>
      <x:c r="R195" s="71"/>
      <x:c r="S195" s="71"/>
      <x:c r="T195" s="71"/>
      <x:c r="U195" s="71"/>
      <x:c r="V195" s="71"/>
      <x:c r="W195" s="71"/>
      <x:c r="X195" s="71"/>
      <x:c r="Y195" s="71"/>
      <x:c r="Z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1"/>
      <x:c r="J196" s="71"/>
      <x:c r="K196" s="71"/>
      <x:c r="L196" s="71"/>
      <x:c r="M196" s="71"/>
      <x:c r="N196" s="71"/>
      <x:c r="O196" s="71"/>
      <x:c r="P196" s="71"/>
      <x:c r="Q196" s="71"/>
      <x:c r="R196" s="71"/>
      <x:c r="S196" s="71"/>
      <x:c r="T196" s="71"/>
      <x:c r="U196" s="71"/>
      <x:c r="V196" s="71"/>
      <x:c r="W196" s="71"/>
      <x:c r="X196" s="71"/>
      <x:c r="Y196" s="71"/>
      <x:c r="Z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1"/>
      <x:c r="J197" s="71"/>
      <x:c r="K197" s="71"/>
      <x:c r="L197" s="71"/>
      <x:c r="M197" s="71"/>
      <x:c r="N197" s="71"/>
      <x:c r="O197" s="71"/>
      <x:c r="P197" s="71"/>
      <x:c r="Q197" s="71"/>
      <x:c r="R197" s="71"/>
      <x:c r="S197" s="71"/>
      <x:c r="T197" s="71"/>
      <x:c r="U197" s="71"/>
      <x:c r="V197" s="71"/>
      <x:c r="W197" s="71"/>
      <x:c r="X197" s="71"/>
      <x:c r="Y197" s="71"/>
      <x:c r="Z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1"/>
      <x:c r="J198" s="71"/>
      <x:c r="K198" s="71"/>
      <x:c r="L198" s="71"/>
      <x:c r="M198" s="71"/>
      <x:c r="N198" s="71"/>
      <x:c r="O198" s="71"/>
      <x:c r="P198" s="71"/>
      <x:c r="Q198" s="71"/>
      <x:c r="R198" s="71"/>
      <x:c r="S198" s="71"/>
      <x:c r="T198" s="71"/>
      <x:c r="U198" s="71"/>
      <x:c r="V198" s="71"/>
      <x:c r="W198" s="71"/>
      <x:c r="X198" s="71"/>
      <x:c r="Y198" s="71"/>
      <x:c r="Z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1"/>
      <x:c r="J199" s="71"/>
      <x:c r="K199" s="71"/>
      <x:c r="L199" s="71"/>
      <x:c r="M199" s="71"/>
      <x:c r="N199" s="71"/>
      <x:c r="O199" s="71"/>
      <x:c r="P199" s="71"/>
      <x:c r="Q199" s="71"/>
      <x:c r="R199" s="71"/>
      <x:c r="S199" s="71"/>
      <x:c r="T199" s="71"/>
      <x:c r="U199" s="71"/>
      <x:c r="V199" s="71"/>
      <x:c r="W199" s="71"/>
      <x:c r="X199" s="71"/>
      <x:c r="Y199" s="71"/>
      <x:c r="Z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1"/>
      <x:c r="J200" s="71"/>
      <x:c r="K200" s="71"/>
      <x:c r="L200" s="71"/>
      <x:c r="M200" s="71"/>
      <x:c r="N200" s="71"/>
      <x:c r="O200" s="71"/>
      <x:c r="P200" s="71"/>
      <x:c r="Q200" s="71"/>
      <x:c r="R200" s="71"/>
      <x:c r="S200" s="71"/>
      <x:c r="T200" s="71"/>
      <x:c r="U200" s="71"/>
      <x:c r="V200" s="71"/>
      <x:c r="W200" s="71"/>
      <x:c r="X200" s="71"/>
      <x:c r="Y200" s="71"/>
      <x:c r="Z200" s="71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78bbc5158d541b1"/>
  </x:tableParts>
</x:worksheet>
</file>